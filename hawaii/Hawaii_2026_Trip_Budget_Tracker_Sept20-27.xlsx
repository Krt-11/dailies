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dget Dashboard" sheetId="2" state="visible" r:id="rId2"/>
    <sheet xmlns:r="http://schemas.openxmlformats.org/officeDocument/2006/relationships" name="Itemized Budget" sheetId="3" state="visible" r:id="rId3"/>
    <sheet xmlns:r="http://schemas.openxmlformats.org/officeDocument/2006/relationships" name="Daily Plan" sheetId="4" state="visible" r:id="rId4"/>
    <sheet xmlns:r="http://schemas.openxmlformats.org/officeDocument/2006/relationships" name="Lodging" sheetId="5" state="visible" r:id="rId5"/>
    <sheet xmlns:r="http://schemas.openxmlformats.org/officeDocument/2006/relationships" name="Transport" sheetId="6" state="visible" r:id="rId6"/>
    <sheet xmlns:r="http://schemas.openxmlformats.org/officeDocument/2006/relationships" name="Options Comparison" sheetId="7" state="visible" r:id="rId7"/>
    <sheet xmlns:r="http://schemas.openxmlformats.org/officeDocument/2006/relationships" name="Booking Checklist" sheetId="8" state="visible" r:id="rId8"/>
    <sheet xmlns:r="http://schemas.openxmlformats.org/officeDocument/2006/relationships" name="Sources" sheetId="9" state="visible" r:id="rId9"/>
  </sheets>
  <definedNames>
    <definedName name="_xlnm._FilterDatabase" localSheetId="2" hidden="1">'Itemized Budget'!$A$4:$K$30</definedName>
    <definedName name="_xlnm._FilterDatabase" localSheetId="3" hidden="1">'Daily Plan'!$A$4:$I$33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7324D"/>
      <sz val="14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D966"/>
      </patternFill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0" fontId="5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sgs.gov/volcanoes/kilauea/volcano-updates" TargetMode="External" Id="rId1"/><Relationship Type="http://schemas.openxmlformats.org/officeDocument/2006/relationships/hyperlink" Target="https://www.nps.gov/havo/index.htm" TargetMode="External" Id="rId2"/><Relationship Type="http://schemas.openxmlformats.org/officeDocument/2006/relationships/hyperlink" Target="https://www.nps.gov/havo/planyourvisit/eruption-viewing.htm" TargetMode="External" Id="rId3"/><Relationship Type="http://schemas.openxmlformats.org/officeDocument/2006/relationships/hyperlink" Target="https://htbg.com/plan-your-visit/" TargetMode="External" Id="rId4"/><Relationship Type="http://schemas.openxmlformats.org/officeDocument/2006/relationships/hyperlink" Target="https://www.gohawaii.com/islands/kauai/regions/north-shore/napali-coast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hawaii.com/islands/hawaii-big-island" TargetMode="External" Id="rId1"/><Relationship Type="http://schemas.openxmlformats.org/officeDocument/2006/relationships/hyperlink" Target="https://www.nps.gov/havo/planyourvisit/where-to-stay.htm" TargetMode="External" Id="rId2"/><Relationship Type="http://schemas.openxmlformats.org/officeDocument/2006/relationships/hyperlink" Target="https://www.gohawaii.com/islands/hawaii-big-island/regions/hilo" TargetMode="External" Id="rId3"/><Relationship Type="http://schemas.openxmlformats.org/officeDocument/2006/relationships/hyperlink" Target="https://www.gohawaii.com/islands/kauai/regions/north-shore" TargetMode="External" Id="rId4"/><Relationship Type="http://schemas.openxmlformats.org/officeDocument/2006/relationships/hyperlink" Target="https://www.gohawaii.com/islands/kauai/regions/south-shore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a.com/" TargetMode="External" Id="rId1"/><Relationship Type="http://schemas.openxmlformats.org/officeDocument/2006/relationships/hyperlink" Target="https://www.hawaiianairlines.com/" TargetMode="External" Id="rId2"/><Relationship Type="http://schemas.openxmlformats.org/officeDocument/2006/relationships/hyperlink" Target="https://www.enterprise.com/" TargetMode="External" Id="rId3"/><Relationship Type="http://schemas.openxmlformats.org/officeDocument/2006/relationships/hyperlink" Target="https://www.enterprise.com/" TargetMode="External" Id="rId4"/><Relationship Type="http://schemas.openxmlformats.org/officeDocument/2006/relationships/hyperlink" Target="https://www.aa.com/" TargetMode="External" Id="rId5"/></Relationships>
</file>

<file path=xl/worksheets/_rels/sheet9.xml.rels><Relationships xmlns="http://schemas.openxmlformats.org/package/2006/relationships"><Relationship Type="http://schemas.openxmlformats.org/officeDocument/2006/relationships/hyperlink" Target="https://www.usgs.gov/volcanoes/kilauea/volcano-updates" TargetMode="External" Id="rId1"/><Relationship Type="http://schemas.openxmlformats.org/officeDocument/2006/relationships/hyperlink" Target="https://www.nps.gov/havo/index.htm" TargetMode="External" Id="rId2"/><Relationship Type="http://schemas.openxmlformats.org/officeDocument/2006/relationships/hyperlink" Target="https://www.nps.gov/havo/planyourvisit/eruption-viewing.htm" TargetMode="External" Id="rId3"/><Relationship Type="http://schemas.openxmlformats.org/officeDocument/2006/relationships/hyperlink" Target="https://htbg.com/plan-your-visit/" TargetMode="External" Id="rId4"/><Relationship Type="http://schemas.openxmlformats.org/officeDocument/2006/relationships/hyperlink" Target="https://www.gohawaii.com/islands/kauai/regions/north-shore/napali-coast" TargetMode="External" Id="rId5"/><Relationship Type="http://schemas.openxmlformats.org/officeDocument/2006/relationships/hyperlink" Target="https://www.maunakeaobservatories.org/" TargetMode="External" Id="rId6"/><Relationship Type="http://schemas.openxmlformats.org/officeDocument/2006/relationships/hyperlink" Target="https://www.aa.com/" TargetMode="External" Id="rId7"/><Relationship Type="http://schemas.openxmlformats.org/officeDocument/2006/relationships/hyperlink" Target="https://www.hawaiianairlines.com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30" customWidth="1" min="4" max="4"/>
    <col width="8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HAWAIʻI 2026  |  Adventure Trip Budget &amp; Tracker</t>
        </is>
      </c>
    </row>
    <row r="2">
      <c r="A2" s="2" t="inlineStr">
        <is>
          <t>Five travelers maximum • Sept 20–27, 2026 • Hawaiʻi Island + Kauaʻi • research/planning version</t>
        </is>
      </c>
    </row>
    <row r="4">
      <c r="A4" s="3" t="inlineStr">
        <is>
          <t>Editable planning controls</t>
        </is>
      </c>
      <c r="D4" s="3" t="inlineStr">
        <is>
          <t>How to use this workbook</t>
        </is>
      </c>
    </row>
    <row r="5">
      <c r="A5" s="4" t="inlineStr">
        <is>
          <t>Travelers</t>
        </is>
      </c>
      <c r="B5" s="5" t="n">
        <v>5</v>
      </c>
      <c r="C5" s="4" t="n"/>
      <c r="D5" s="4" t="inlineStr">
        <is>
          <t>1. Replace yellow assumptions and quote cells only.</t>
        </is>
      </c>
      <c r="E5" s="4" t="n"/>
    </row>
    <row r="6">
      <c r="A6" s="4" t="inlineStr">
        <is>
          <t>Maximum target / person</t>
        </is>
      </c>
      <c r="B6" s="5" t="n">
        <v>2500</v>
      </c>
      <c r="C6" s="4" t="n"/>
      <c r="D6" s="4" t="inlineStr">
        <is>
          <t>2. Use Budget Dashboard for the live per-person and group estimate.</t>
        </is>
      </c>
      <c r="E6" s="4" t="n"/>
    </row>
    <row r="7">
      <c r="A7" s="4" t="inlineStr">
        <is>
          <t>Main airfare placeholder / person</t>
        </is>
      </c>
      <c r="B7" s="5" t="n">
        <v>650</v>
      </c>
      <c r="C7" s="4" t="n"/>
      <c r="D7" s="4" t="inlineStr">
        <is>
          <t>3. Use Itemized Budget for every planned expense and mark optional items.</t>
        </is>
      </c>
      <c r="E7" s="4" t="n"/>
    </row>
    <row r="8">
      <c r="A8" s="4" t="inlineStr">
        <is>
          <t>KOA→LIH inter-island flight / person</t>
        </is>
      </c>
      <c r="B8" s="5" t="n">
        <v>120</v>
      </c>
      <c r="C8" s="4" t="n"/>
      <c r="D8" s="4" t="inlineStr">
        <is>
          <t>4. Use Daily Plan for the hour-by-hour schedule.</t>
        </is>
      </c>
      <c r="E8" s="4" t="n"/>
    </row>
    <row r="9">
      <c r="A9" s="4" t="inlineStr">
        <is>
          <t>Lodging / room-night</t>
        </is>
      </c>
      <c r="B9" s="5" t="n">
        <v>240</v>
      </c>
      <c r="C9" s="4" t="n"/>
      <c r="D9" s="4" t="inlineStr">
        <is>
          <t>5. Lodging and Transport hold actual quote/booking details.</t>
        </is>
      </c>
      <c r="E9" s="4" t="n"/>
    </row>
    <row r="10">
      <c r="A10" s="4" t="inlineStr">
        <is>
          <t>Nights</t>
        </is>
      </c>
      <c r="B10" s="5" t="n">
        <v>7</v>
      </c>
      <c r="C10" s="4" t="n"/>
      <c r="D10" s="4" t="inlineStr">
        <is>
          <t>6. Sources keeps official planning links separate from estimates.</t>
        </is>
      </c>
      <c r="E10" s="4" t="n"/>
    </row>
    <row r="11">
      <c r="A11" s="4" t="inlineStr">
        <is>
          <t>Food / person</t>
        </is>
      </c>
      <c r="B11" s="5" t="n">
        <v>300</v>
      </c>
      <c r="C11" s="4" t="n"/>
      <c r="D11" s="4" t="inlineStr">
        <is>
          <t>7. September weather, trail closures, road conditions and Kīlauea activity must be rechecked immediately before travel.</t>
        </is>
      </c>
      <c r="E11" s="4" t="n"/>
    </row>
    <row r="12">
      <c r="A12" s="4" t="inlineStr">
        <is>
          <t>Activities / person</t>
        </is>
      </c>
      <c r="B12" s="5" t="n">
        <v>260</v>
      </c>
      <c r="C12" s="4" t="n"/>
      <c r="D12" s="4" t="n"/>
      <c r="E12" s="4" t="n"/>
    </row>
    <row r="13">
      <c r="A13" s="4" t="inlineStr">
        <is>
          <t>Rental cars + fuel / person</t>
        </is>
      </c>
      <c r="B13" s="5" t="n">
        <v>160</v>
      </c>
      <c r="C13" s="4" t="n"/>
      <c r="D13" s="4" t="inlineStr">
        <is>
          <t>Route</t>
        </is>
      </c>
      <c r="E13" s="4" t="inlineStr">
        <is>
          <t>CMH → KOA → Hawaiʻi Island → LIH → Kauaʻi → CMH</t>
        </is>
      </c>
    </row>
    <row r="14">
      <c r="A14" s="4" t="inlineStr">
        <is>
          <t>Misc / contingency / person</t>
        </is>
      </c>
      <c r="B14" s="5" t="n">
        <v>100</v>
      </c>
      <c r="C14" s="4" t="n"/>
      <c r="D14" s="4" t="inlineStr">
        <is>
          <t>Dates</t>
        </is>
      </c>
      <c r="E14" s="4" t="inlineStr">
        <is>
          <t>Sun Sep 20 through Sun Sep 27, 2026</t>
        </is>
      </c>
    </row>
    <row r="15">
      <c r="A15" s="4" t="n"/>
      <c r="B15" s="4" t="n"/>
      <c r="C15" s="4" t="n"/>
      <c r="D15" s="4" t="inlineStr">
        <is>
          <t>Trip style</t>
        </is>
      </c>
      <c r="E15" s="4" t="inlineStr">
        <is>
          <t>Early mornings, substantial hiking, scenery-first, two islands</t>
        </is>
      </c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6" t="inlineStr">
        <is>
          <t>Important live-status links</t>
        </is>
      </c>
      <c r="E17" s="4" t="n"/>
    </row>
    <row r="18">
      <c r="A18" s="4" t="n"/>
      <c r="B18" s="4" t="n"/>
      <c r="C18" s="4" t="n"/>
      <c r="D18" s="4" t="inlineStr">
        <is>
          <t>USGS Kīlauea updates</t>
        </is>
      </c>
      <c r="E18" s="7" t="inlineStr">
        <is>
          <t>https://www.usgs.gov/volcanoes/kilauea/volcano-updates</t>
        </is>
      </c>
    </row>
    <row r="19">
      <c r="A19" s="4" t="n"/>
      <c r="B19" s="4" t="n"/>
      <c r="C19" s="4" t="n"/>
      <c r="D19" s="4" t="inlineStr">
        <is>
          <t>NPS Hawaiʻi Volcanoes</t>
        </is>
      </c>
      <c r="E19" s="7" t="inlineStr">
        <is>
          <t>https://www.nps.gov/havo/index.htm</t>
        </is>
      </c>
    </row>
    <row r="20">
      <c r="A20" s="4" t="n"/>
      <c r="B20" s="4" t="n"/>
      <c r="C20" s="4" t="n"/>
      <c r="D20" s="4" t="inlineStr">
        <is>
          <t>NPS eruption viewing</t>
        </is>
      </c>
      <c r="E20" s="7" t="inlineStr">
        <is>
          <t>https://www.nps.gov/havo/planyourvisit/eruption-viewing.htm</t>
        </is>
      </c>
    </row>
    <row r="21">
      <c r="A21" s="4" t="n"/>
      <c r="B21" s="4" t="n"/>
      <c r="C21" s="4" t="n"/>
      <c r="D21" s="4" t="inlineStr">
        <is>
          <t>Hawaiʻi Tropical Botanical Garden</t>
        </is>
      </c>
      <c r="E21" s="7" t="inlineStr">
        <is>
          <t>https://htbg.com/plan-your-visit/</t>
        </is>
      </c>
    </row>
    <row r="22">
      <c r="A22" s="4" t="n"/>
      <c r="B22" s="4" t="n"/>
      <c r="C22" s="4" t="n"/>
      <c r="D22" s="4" t="inlineStr">
        <is>
          <t>GoHawaii Kauaʻi / Nā Pali</t>
        </is>
      </c>
      <c r="E22" s="7" t="inlineStr">
        <is>
          <t>https://www.gohawaii.com/islands/kauai/regions/north-shore/napali-coast</t>
        </is>
      </c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</sheetData>
  <mergeCells count="2">
    <mergeCell ref="A2:H2"/>
    <mergeCell ref="A1:H1"/>
  </mergeCells>
  <hyperlinks>
    <hyperlink xmlns:r="http://schemas.openxmlformats.org/officeDocument/2006/relationships" ref="E18" r:id="rId1"/>
    <hyperlink xmlns:r="http://schemas.openxmlformats.org/officeDocument/2006/relationships" ref="E19" r:id="rId2"/>
    <hyperlink xmlns:r="http://schemas.openxmlformats.org/officeDocument/2006/relationships" ref="E20" r:id="rId3"/>
    <hyperlink xmlns:r="http://schemas.openxmlformats.org/officeDocument/2006/relationships" ref="E21" r:id="rId4"/>
    <hyperlink xmlns:r="http://schemas.openxmlformats.org/officeDocument/2006/relationships" ref="E22" r:id="rId5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48" customWidth="1" min="5" max="5"/>
  </cols>
  <sheetData>
    <row r="1" ht="30" customHeight="1">
      <c r="A1" s="1" t="inlineStr">
        <is>
          <t>Budget Dashboard</t>
        </is>
      </c>
    </row>
    <row r="2">
      <c r="A2" s="2" t="inlineStr">
        <is>
          <t>Live-style planning dashboard for 4–5 travelers. Replace yellow assumptions with actual quotes as you book.</t>
        </is>
      </c>
    </row>
    <row r="5">
      <c r="A5" s="8" t="inlineStr">
        <is>
          <t>Scenario / metric</t>
        </is>
      </c>
      <c r="B5" s="8" t="inlineStr">
        <is>
          <t>Per person</t>
        </is>
      </c>
      <c r="C5" s="8" t="inlineStr">
        <is>
          <t>Group total</t>
        </is>
      </c>
      <c r="D5" s="8" t="inlineStr">
        <is>
          <t>Against $2,500 target</t>
        </is>
      </c>
      <c r="E5" s="8" t="inlineStr">
        <is>
          <t>Notes</t>
        </is>
      </c>
    </row>
    <row r="6">
      <c r="A6" s="4" t="inlineStr">
        <is>
          <t>Planning estimate</t>
        </is>
      </c>
      <c r="B6" s="9">
        <f>SUM('Itemized Budget'!H5:H31)</f>
        <v/>
      </c>
      <c r="C6" s="9">
        <f>B6*'Read Me'!$B$5</f>
        <v/>
      </c>
      <c r="D6" s="9">
        <f>B6-'Read Me'!$B$6</f>
        <v/>
      </c>
      <c r="E6" s="4" t="inlineStr">
        <is>
          <t>Uses current planning assumptions</t>
        </is>
      </c>
    </row>
    <row r="7">
      <c r="A7" s="4" t="inlineStr">
        <is>
          <t>Core trip excluding contingency</t>
        </is>
      </c>
      <c r="B7" s="9">
        <f>SUM('Itemized Budget'!H5:H29)</f>
        <v/>
      </c>
      <c r="C7" s="9">
        <f>B7*'Read Me'!$B$5</f>
        <v/>
      </c>
      <c r="D7" s="9">
        <f>B7-'Read Me'!$B$6</f>
        <v/>
      </c>
      <c r="E7" s="4" t="inlineStr"/>
    </row>
    <row r="8">
      <c r="A8" s="4" t="inlineStr">
        <is>
          <t>Target</t>
        </is>
      </c>
      <c r="B8" s="9">
        <f>'Read Me'!$B$6</f>
        <v/>
      </c>
      <c r="C8" s="9">
        <f>B8*'Read Me'!$B$5</f>
        <v/>
      </c>
      <c r="D8" s="9">
        <f>0</f>
        <v/>
      </c>
      <c r="E8" s="4" t="inlineStr">
        <is>
          <t>User-editable target</t>
        </is>
      </c>
    </row>
    <row r="9">
      <c r="A9" s="4" t="inlineStr">
        <is>
          <t>Current actuals entered</t>
        </is>
      </c>
      <c r="B9" s="9">
        <f>SUM('Itemized Budget'!I5:I31)</f>
        <v/>
      </c>
      <c r="C9" s="9">
        <f>B9*'Read Me'!$B$5</f>
        <v/>
      </c>
      <c r="D9" s="9">
        <f>B9-'Read Me'!$B$6</f>
        <v/>
      </c>
      <c r="E9" s="4" t="inlineStr">
        <is>
          <t>Only counts filled Actual cells</t>
        </is>
      </c>
    </row>
    <row r="12">
      <c r="A12" s="8" t="inlineStr">
        <is>
          <t>Cost category</t>
        </is>
      </c>
      <c r="B12" s="8" t="inlineStr">
        <is>
          <t>Per person</t>
        </is>
      </c>
      <c r="C12" s="8" t="inlineStr">
        <is>
          <t>Group total</t>
        </is>
      </c>
    </row>
    <row r="13">
      <c r="A13" s="4" t="inlineStr">
        <is>
          <t>Main airfare</t>
        </is>
      </c>
      <c r="B13" s="9" t="n">
        <v>650</v>
      </c>
      <c r="C13" s="9">
        <f>B13*'Read Me'!$B$5</f>
        <v/>
      </c>
    </row>
    <row r="14">
      <c r="A14" s="4" t="inlineStr">
        <is>
          <t>Inter-island flight</t>
        </is>
      </c>
      <c r="B14" s="9" t="n">
        <v>120</v>
      </c>
      <c r="C14" s="9">
        <f>B14*'Read Me'!$B$5</f>
        <v/>
      </c>
    </row>
    <row r="15">
      <c r="A15" s="4" t="inlineStr">
        <is>
          <t>Lodging</t>
        </is>
      </c>
      <c r="B15" s="9" t="n">
        <v>635</v>
      </c>
      <c r="C15" s="9">
        <f>B15*'Read Me'!$B$5</f>
        <v/>
      </c>
    </row>
    <row r="16">
      <c r="A16" s="4" t="inlineStr">
        <is>
          <t>Food</t>
        </is>
      </c>
      <c r="B16" s="9" t="n">
        <v>315</v>
      </c>
      <c r="C16" s="9">
        <f>B16*'Read Me'!$B$5</f>
        <v/>
      </c>
    </row>
    <row r="17">
      <c r="A17" s="4" t="inlineStr">
        <is>
          <t>Activities / admissions</t>
        </is>
      </c>
      <c r="B17" s="9" t="n">
        <v>250</v>
      </c>
      <c r="C17" s="9">
        <f>B17*'Read Me'!$B$5</f>
        <v/>
      </c>
    </row>
    <row r="18">
      <c r="A18" s="4" t="inlineStr">
        <is>
          <t>Cars / fuel / parking</t>
        </is>
      </c>
      <c r="B18" s="9" t="n">
        <v>70</v>
      </c>
      <c r="C18" s="9">
        <f>B18*'Read Me'!$B$5</f>
        <v/>
      </c>
    </row>
    <row r="19">
      <c r="A19" s="4" t="inlineStr">
        <is>
          <t>Misc / contingency</t>
        </is>
      </c>
      <c r="B19" s="9" t="n">
        <v>100</v>
      </c>
      <c r="C19" s="9">
        <f>B19*'Read Me'!$B$5</f>
        <v/>
      </c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25" customWidth="1" min="4" max="4"/>
    <col width="16" customWidth="1" min="5" max="5"/>
    <col width="38" customWidth="1" min="6" max="6"/>
    <col width="13" customWidth="1" min="7" max="7"/>
    <col width="17" customWidth="1" min="8" max="8"/>
    <col width="17" customWidth="1" min="9" max="9"/>
    <col width="15" customWidth="1" min="10" max="10"/>
    <col width="48" customWidth="1" min="11" max="11"/>
  </cols>
  <sheetData>
    <row r="1" ht="30" customHeight="1">
      <c r="A1" s="1" t="inlineStr">
        <is>
          <t>Itemized Budget</t>
        </is>
      </c>
    </row>
    <row r="2">
      <c r="A2" s="2" t="inlineStr">
        <is>
          <t>Every major trip cost, with editable estimate and actual columns. Prices are planning estimates until replaced with live quotes.</t>
        </is>
      </c>
    </row>
    <row r="4">
      <c r="A4" s="8" t="inlineStr">
        <is>
          <t>Date</t>
        </is>
      </c>
      <c r="B4" s="8" t="inlineStr">
        <is>
          <t>Day</t>
        </is>
      </c>
      <c r="C4" s="8" t="inlineStr">
        <is>
          <t>Island</t>
        </is>
      </c>
      <c r="D4" s="8" t="inlineStr">
        <is>
          <t>Location</t>
        </is>
      </c>
      <c r="E4" s="8" t="inlineStr">
        <is>
          <t>Category</t>
        </is>
      </c>
      <c r="F4" s="8" t="inlineStr">
        <is>
          <t>Item</t>
        </is>
      </c>
      <c r="G4" s="8" t="inlineStr">
        <is>
          <t>Required?</t>
        </is>
      </c>
      <c r="H4" s="8" t="inlineStr">
        <is>
          <t>Est. $/person</t>
        </is>
      </c>
      <c r="I4" s="8" t="inlineStr">
        <is>
          <t>Actual $/person</t>
        </is>
      </c>
      <c r="J4" s="8" t="inlineStr">
        <is>
          <t>Group Est.</t>
        </is>
      </c>
      <c r="K4" s="8" t="inlineStr">
        <is>
          <t>Notes / booking trigger</t>
        </is>
      </c>
    </row>
    <row r="5">
      <c r="A5" s="4" t="inlineStr">
        <is>
          <t>2026-09-20</t>
        </is>
      </c>
      <c r="B5" s="4" t="inlineStr">
        <is>
          <t>Day 1</t>
        </is>
      </c>
      <c r="C5" s="4" t="inlineStr">
        <is>
          <t>Travel</t>
        </is>
      </c>
      <c r="D5" s="4" t="inlineStr">
        <is>
          <t>CMH→KOA</t>
        </is>
      </c>
      <c r="E5" s="4" t="inlineStr">
        <is>
          <t>Airfare</t>
        </is>
      </c>
      <c r="F5" s="4" t="inlineStr">
        <is>
          <t>Main round-trip/open-jaw airfare</t>
        </is>
      </c>
      <c r="G5" s="4" t="inlineStr">
        <is>
          <t>Yes</t>
        </is>
      </c>
      <c r="H5" s="10" t="n">
        <v>650</v>
      </c>
      <c r="I5" s="11" t="inlineStr"/>
      <c r="J5" s="9">
        <f>H5*'Read Me'!$B$5</f>
        <v/>
      </c>
      <c r="K5" s="4" t="inlineStr">
        <is>
          <t>Replace with chosen flight quote</t>
        </is>
      </c>
    </row>
    <row r="6">
      <c r="A6" s="4" t="inlineStr">
        <is>
          <t>2026-09-20</t>
        </is>
      </c>
      <c r="B6" s="4" t="inlineStr">
        <is>
          <t>Day 1</t>
        </is>
      </c>
      <c r="C6" s="4" t="inlineStr">
        <is>
          <t>Hawaiʻi Island</t>
        </is>
      </c>
      <c r="D6" s="4" t="inlineStr">
        <is>
          <t>KOA</t>
        </is>
      </c>
      <c r="E6" s="4" t="inlineStr">
        <is>
          <t>Transport</t>
        </is>
      </c>
      <c r="F6" s="4" t="inlineStr">
        <is>
          <t>Rental car + first-day allocation</t>
        </is>
      </c>
      <c r="G6" s="4" t="inlineStr">
        <is>
          <t>Yes</t>
        </is>
      </c>
      <c r="H6" s="10" t="n">
        <v>35</v>
      </c>
      <c r="I6" s="11" t="inlineStr"/>
      <c r="J6" s="9">
        <f>H6*'Read Me'!$B$5</f>
        <v/>
      </c>
      <c r="K6" s="4" t="inlineStr">
        <is>
          <t>Two rental cars may be useful for 5 travelers</t>
        </is>
      </c>
    </row>
    <row r="7">
      <c r="A7" s="4" t="inlineStr">
        <is>
          <t>2026-09-20</t>
        </is>
      </c>
      <c r="B7" s="4" t="inlineStr">
        <is>
          <t>Day 1</t>
        </is>
      </c>
      <c r="C7" s="4" t="inlineStr">
        <is>
          <t>Hawaiʻi Island</t>
        </is>
      </c>
      <c r="D7" s="4" t="inlineStr">
        <is>
          <t>Kona</t>
        </is>
      </c>
      <c r="E7" s="4" t="inlineStr">
        <is>
          <t>Lodging</t>
        </is>
      </c>
      <c r="F7" s="4" t="inlineStr">
        <is>
          <t>Night 1 lodging</t>
        </is>
      </c>
      <c r="G7" s="4" t="inlineStr">
        <is>
          <t>Yes</t>
        </is>
      </c>
      <c r="H7" s="10" t="n">
        <v>120</v>
      </c>
      <c r="I7" s="11" t="inlineStr"/>
      <c r="J7" s="9">
        <f>H7*'Read Me'!$B$5</f>
        <v/>
      </c>
      <c r="K7" s="4" t="inlineStr">
        <is>
          <t>Depends on room configuration</t>
        </is>
      </c>
    </row>
    <row r="8">
      <c r="A8" s="4" t="inlineStr">
        <is>
          <t>2026-09-20</t>
        </is>
      </c>
      <c r="B8" s="4" t="inlineStr">
        <is>
          <t>Day 1</t>
        </is>
      </c>
      <c r="C8" s="4" t="inlineStr">
        <is>
          <t>Hawaiʻi Island</t>
        </is>
      </c>
      <c r="D8" s="4" t="inlineStr">
        <is>
          <t>Kona</t>
        </is>
      </c>
      <c r="E8" s="4" t="inlineStr">
        <is>
          <t>Food</t>
        </is>
      </c>
      <c r="F8" s="4" t="inlineStr">
        <is>
          <t>Food + groceries</t>
        </is>
      </c>
      <c r="G8" s="4" t="inlineStr">
        <is>
          <t>Yes</t>
        </is>
      </c>
      <c r="H8" s="10" t="n">
        <v>45</v>
      </c>
      <c r="I8" s="11" t="inlineStr"/>
      <c r="J8" s="9">
        <f>H8*'Read Me'!$B$5</f>
        <v/>
      </c>
      <c r="K8" s="4" t="inlineStr"/>
    </row>
    <row r="9">
      <c r="A9" s="4" t="inlineStr">
        <is>
          <t>2026-09-21</t>
        </is>
      </c>
      <c r="B9" s="4" t="inlineStr">
        <is>
          <t>Day 2</t>
        </is>
      </c>
      <c r="C9" s="4" t="inlineStr">
        <is>
          <t>Hawaiʻi Island</t>
        </is>
      </c>
      <c r="D9" s="4" t="inlineStr">
        <is>
          <t>Volcanoes NP</t>
        </is>
      </c>
      <c r="E9" s="4" t="inlineStr">
        <is>
          <t>Park</t>
        </is>
      </c>
      <c r="F9" s="4" t="inlineStr">
        <is>
          <t>Park / parking / access allowance</t>
        </is>
      </c>
      <c r="G9" s="4" t="inlineStr">
        <is>
          <t>Yes</t>
        </is>
      </c>
      <c r="H9" s="10" t="n">
        <v>10</v>
      </c>
      <c r="I9" s="11" t="inlineStr"/>
      <c r="J9" s="9">
        <f>H9*'Read Me'!$B$5</f>
        <v/>
      </c>
      <c r="K9" s="4" t="inlineStr">
        <is>
          <t>Check current park conditions</t>
        </is>
      </c>
    </row>
    <row r="10">
      <c r="A10" s="4" t="inlineStr">
        <is>
          <t>2026-09-21</t>
        </is>
      </c>
      <c r="B10" s="4" t="inlineStr">
        <is>
          <t>Day 2</t>
        </is>
      </c>
      <c r="C10" s="4" t="inlineStr">
        <is>
          <t>Hawaiʻi Island</t>
        </is>
      </c>
      <c r="D10" s="4" t="inlineStr">
        <is>
          <t>Kīlauea Iki</t>
        </is>
      </c>
      <c r="E10" s="4" t="inlineStr">
        <is>
          <t>Activity</t>
        </is>
      </c>
      <c r="F10" s="4" t="inlineStr">
        <is>
          <t>Kīlauea Iki hike</t>
        </is>
      </c>
      <c r="G10" s="4" t="inlineStr">
        <is>
          <t>Yes</t>
        </is>
      </c>
      <c r="H10" s="10" t="n">
        <v>0</v>
      </c>
      <c r="I10" s="11" t="inlineStr"/>
      <c r="J10" s="9">
        <f>H10*'Read Me'!$B$5</f>
        <v/>
      </c>
      <c r="K10" s="4" t="inlineStr">
        <is>
          <t>Trail conditions may change</t>
        </is>
      </c>
    </row>
    <row r="11">
      <c r="A11" s="4" t="inlineStr">
        <is>
          <t>2026-09-21</t>
        </is>
      </c>
      <c r="B11" s="4" t="inlineStr">
        <is>
          <t>Day 2</t>
        </is>
      </c>
      <c r="C11" s="4" t="inlineStr">
        <is>
          <t>Hawaiʻi Island</t>
        </is>
      </c>
      <c r="D11" s="4" t="inlineStr">
        <is>
          <t>Volcano</t>
        </is>
      </c>
      <c r="E11" s="4" t="inlineStr">
        <is>
          <t>Lodging</t>
        </is>
      </c>
      <c r="F11" s="4" t="inlineStr">
        <is>
          <t>Night 2 lodging</t>
        </is>
      </c>
      <c r="G11" s="4" t="inlineStr">
        <is>
          <t>Yes</t>
        </is>
      </c>
      <c r="H11" s="10" t="n">
        <v>75</v>
      </c>
      <c r="I11" s="11" t="inlineStr"/>
      <c r="J11" s="9">
        <f>H11*'Read Me'!$B$5</f>
        <v/>
      </c>
      <c r="K11" s="4" t="inlineStr">
        <is>
          <t>Volcano Village preferred</t>
        </is>
      </c>
    </row>
    <row r="12">
      <c r="A12" s="4" t="inlineStr">
        <is>
          <t>2026-09-22</t>
        </is>
      </c>
      <c r="B12" s="4" t="inlineStr">
        <is>
          <t>Day 3</t>
        </is>
      </c>
      <c r="C12" s="4" t="inlineStr">
        <is>
          <t>Hawaiʻi Island</t>
        </is>
      </c>
      <c r="D12" s="4" t="inlineStr">
        <is>
          <t>Hilo</t>
        </is>
      </c>
      <c r="E12" s="4" t="inlineStr">
        <is>
          <t>Activity</t>
        </is>
      </c>
      <c r="F12" s="4" t="inlineStr">
        <is>
          <t>Hawaiʻi Tropical Botanical Garden</t>
        </is>
      </c>
      <c r="G12" s="4" t="inlineStr">
        <is>
          <t>Yes</t>
        </is>
      </c>
      <c r="H12" s="10" t="n">
        <v>35</v>
      </c>
      <c r="I12" s="11" t="inlineStr"/>
      <c r="J12" s="9">
        <f>H12*'Read Me'!$B$5</f>
        <v/>
      </c>
      <c r="K12" s="4" t="inlineStr">
        <is>
          <t>Current adult admission benchmark</t>
        </is>
      </c>
    </row>
    <row r="13">
      <c r="A13" s="4" t="inlineStr">
        <is>
          <t>2026-09-22</t>
        </is>
      </c>
      <c r="B13" s="4" t="inlineStr">
        <is>
          <t>Day 3</t>
        </is>
      </c>
      <c r="C13" s="4" t="inlineStr">
        <is>
          <t>Hawaiʻi Island</t>
        </is>
      </c>
      <c r="D13" s="4" t="inlineStr">
        <is>
          <t>Akaka Falls</t>
        </is>
      </c>
      <c r="E13" s="4" t="inlineStr">
        <is>
          <t>Activity</t>
        </is>
      </c>
      <c r="F13" s="4" t="inlineStr">
        <is>
          <t>Akaka Falls / parking allowance</t>
        </is>
      </c>
      <c r="G13" s="4" t="inlineStr">
        <is>
          <t>Yes</t>
        </is>
      </c>
      <c r="H13" s="10" t="n">
        <v>15</v>
      </c>
      <c r="I13" s="11" t="inlineStr"/>
      <c r="J13" s="9">
        <f>H13*'Read Me'!$B$5</f>
        <v/>
      </c>
      <c r="K13" s="4" t="inlineStr"/>
    </row>
    <row r="14">
      <c r="A14" s="4" t="inlineStr">
        <is>
          <t>2026-09-22</t>
        </is>
      </c>
      <c r="B14" s="4" t="inlineStr">
        <is>
          <t>Day 3</t>
        </is>
      </c>
      <c r="C14" s="4" t="inlineStr">
        <is>
          <t>Hawaiʻi Island</t>
        </is>
      </c>
      <c r="D14" s="4" t="inlineStr">
        <is>
          <t>Hilo</t>
        </is>
      </c>
      <c r="E14" s="4" t="inlineStr">
        <is>
          <t>Lodging</t>
        </is>
      </c>
      <c r="F14" s="4" t="inlineStr">
        <is>
          <t>Night 3 lodging</t>
        </is>
      </c>
      <c r="G14" s="4" t="inlineStr">
        <is>
          <t>Yes</t>
        </is>
      </c>
      <c r="H14" s="10" t="n">
        <v>75</v>
      </c>
      <c r="I14" s="11" t="inlineStr"/>
      <c r="J14" s="9">
        <f>H14*'Read Me'!$B$5</f>
        <v/>
      </c>
      <c r="K14" s="4" t="inlineStr"/>
    </row>
    <row r="15">
      <c r="A15" s="4" t="inlineStr">
        <is>
          <t>2026-09-22</t>
        </is>
      </c>
      <c r="B15" s="4" t="inlineStr">
        <is>
          <t>Day 3</t>
        </is>
      </c>
      <c r="C15" s="4" t="inlineStr">
        <is>
          <t>Hawaiʻi Island</t>
        </is>
      </c>
      <c r="D15" s="4" t="inlineStr">
        <is>
          <t>Hilo</t>
        </is>
      </c>
      <c r="E15" s="4" t="inlineStr">
        <is>
          <t>Food</t>
        </is>
      </c>
      <c r="F15" s="4" t="inlineStr">
        <is>
          <t>Food</t>
        </is>
      </c>
      <c r="G15" s="4" t="inlineStr">
        <is>
          <t>Yes</t>
        </is>
      </c>
      <c r="H15" s="10" t="n">
        <v>45</v>
      </c>
      <c r="I15" s="11" t="inlineStr"/>
      <c r="J15" s="9">
        <f>H15*'Read Me'!$B$5</f>
        <v/>
      </c>
      <c r="K15" s="4" t="inlineStr"/>
    </row>
    <row r="16">
      <c r="A16" s="4" t="inlineStr">
        <is>
          <t>2026-09-23</t>
        </is>
      </c>
      <c r="B16" s="4" t="inlineStr">
        <is>
          <t>Day 4</t>
        </is>
      </c>
      <c r="C16" s="4" t="inlineStr">
        <is>
          <t>Hawaiʻi Island</t>
        </is>
      </c>
      <c r="D16" s="4" t="inlineStr">
        <is>
          <t>Mauna Kea</t>
        </is>
      </c>
      <c r="E16" s="4" t="inlineStr">
        <is>
          <t>Activity</t>
        </is>
      </c>
      <c r="F16" s="4" t="inlineStr">
        <is>
          <t>Mauna Kea sunset / stargazing</t>
        </is>
      </c>
      <c r="G16" s="4" t="inlineStr">
        <is>
          <t>Yes</t>
        </is>
      </c>
      <c r="H16" s="10" t="n">
        <v>0</v>
      </c>
      <c r="I16" s="11" t="inlineStr"/>
      <c r="J16" s="9">
        <f>H16*'Read Me'!$B$5</f>
        <v/>
      </c>
      <c r="K16" s="4" t="inlineStr">
        <is>
          <t>Check summit access, weather and altitude guidance</t>
        </is>
      </c>
    </row>
    <row r="17">
      <c r="A17" s="4" t="inlineStr">
        <is>
          <t>2026-09-23</t>
        </is>
      </c>
      <c r="B17" s="4" t="inlineStr">
        <is>
          <t>Day 4</t>
        </is>
      </c>
      <c r="C17" s="4" t="inlineStr">
        <is>
          <t>Hawaiʻi Island</t>
        </is>
      </c>
      <c r="D17" s="4" t="inlineStr">
        <is>
          <t>Hilo</t>
        </is>
      </c>
      <c r="E17" s="4" t="inlineStr">
        <is>
          <t>Lodging</t>
        </is>
      </c>
      <c r="F17" s="4" t="inlineStr">
        <is>
          <t>Night 4 lodging</t>
        </is>
      </c>
      <c r="G17" s="4" t="inlineStr">
        <is>
          <t>Yes</t>
        </is>
      </c>
      <c r="H17" s="10" t="n">
        <v>75</v>
      </c>
      <c r="I17" s="11" t="inlineStr"/>
      <c r="J17" s="9">
        <f>H17*'Read Me'!$B$5</f>
        <v/>
      </c>
      <c r="K17" s="4" t="inlineStr"/>
    </row>
    <row r="18">
      <c r="A18" s="4" t="inlineStr">
        <is>
          <t>2026-09-23</t>
        </is>
      </c>
      <c r="B18" s="4" t="inlineStr">
        <is>
          <t>Day 4</t>
        </is>
      </c>
      <c r="C18" s="4" t="inlineStr">
        <is>
          <t>Hawaiʻi Island</t>
        </is>
      </c>
      <c r="D18" s="4" t="inlineStr">
        <is>
          <t>Hilo</t>
        </is>
      </c>
      <c r="E18" s="4" t="inlineStr">
        <is>
          <t>Food</t>
        </is>
      </c>
      <c r="F18" s="4" t="inlineStr">
        <is>
          <t>Food</t>
        </is>
      </c>
      <c r="G18" s="4" t="inlineStr">
        <is>
          <t>Yes</t>
        </is>
      </c>
      <c r="H18" s="10" t="n">
        <v>45</v>
      </c>
      <c r="I18" s="11" t="inlineStr"/>
      <c r="J18" s="9">
        <f>H18*'Read Me'!$B$5</f>
        <v/>
      </c>
      <c r="K18" s="4" t="inlineStr"/>
    </row>
    <row r="19">
      <c r="A19" s="4" t="inlineStr">
        <is>
          <t>2026-09-24</t>
        </is>
      </c>
      <c r="B19" s="4" t="inlineStr">
        <is>
          <t>Day 5</t>
        </is>
      </c>
      <c r="C19" s="4" t="inlineStr">
        <is>
          <t>Air</t>
        </is>
      </c>
      <c r="D19" s="4" t="inlineStr">
        <is>
          <t>KOA→LIH</t>
        </is>
      </c>
      <c r="E19" s="4" t="inlineStr">
        <is>
          <t>Airfare</t>
        </is>
      </c>
      <c r="F19" s="4" t="inlineStr">
        <is>
          <t>Inter-island flight</t>
        </is>
      </c>
      <c r="G19" s="4" t="inlineStr">
        <is>
          <t>Yes</t>
        </is>
      </c>
      <c r="H19" s="10" t="n">
        <v>120</v>
      </c>
      <c r="I19" s="11" t="inlineStr"/>
      <c r="J19" s="9">
        <f>H19*'Read Me'!$B$5</f>
        <v/>
      </c>
      <c r="K19" s="4" t="inlineStr">
        <is>
          <t>Book as separate short-haul leg</t>
        </is>
      </c>
    </row>
    <row r="20">
      <c r="A20" s="4" t="inlineStr">
        <is>
          <t>2026-09-24</t>
        </is>
      </c>
      <c r="B20" s="4" t="inlineStr">
        <is>
          <t>Day 5</t>
        </is>
      </c>
      <c r="C20" s="4" t="inlineStr">
        <is>
          <t>Kauaʻi</t>
        </is>
      </c>
      <c r="D20" s="4" t="inlineStr">
        <is>
          <t>LIH</t>
        </is>
      </c>
      <c r="E20" s="4" t="inlineStr">
        <is>
          <t>Transport</t>
        </is>
      </c>
      <c r="F20" s="4" t="inlineStr">
        <is>
          <t>Kauaʻi rental car allocation</t>
        </is>
      </c>
      <c r="G20" s="4" t="inlineStr">
        <is>
          <t>Yes</t>
        </is>
      </c>
      <c r="H20" s="10" t="n">
        <v>35</v>
      </c>
      <c r="I20" s="11" t="inlineStr"/>
      <c r="J20" s="9">
        <f>H20*'Read Me'!$B$5</f>
        <v/>
      </c>
      <c r="K20" s="4" t="inlineStr"/>
    </row>
    <row r="21">
      <c r="A21" s="4" t="inlineStr">
        <is>
          <t>2026-09-24</t>
        </is>
      </c>
      <c r="B21" s="4" t="inlineStr">
        <is>
          <t>Day 5</t>
        </is>
      </c>
      <c r="C21" s="4" t="inlineStr">
        <is>
          <t>Kauaʻi</t>
        </is>
      </c>
      <c r="D21" s="4" t="inlineStr">
        <is>
          <t>Hanalei</t>
        </is>
      </c>
      <c r="E21" s="4" t="inlineStr">
        <is>
          <t>Lodging</t>
        </is>
      </c>
      <c r="F21" s="4" t="inlineStr">
        <is>
          <t>Night 5 lodging</t>
        </is>
      </c>
      <c r="G21" s="4" t="inlineStr">
        <is>
          <t>Yes</t>
        </is>
      </c>
      <c r="H21" s="10" t="n">
        <v>120</v>
      </c>
      <c r="I21" s="11" t="inlineStr"/>
      <c r="J21" s="9">
        <f>H21*'Read Me'!$B$5</f>
        <v/>
      </c>
      <c r="K21" s="4" t="inlineStr"/>
    </row>
    <row r="22">
      <c r="A22" s="4" t="inlineStr">
        <is>
          <t>2026-09-24</t>
        </is>
      </c>
      <c r="B22" s="4" t="inlineStr">
        <is>
          <t>Day 5</t>
        </is>
      </c>
      <c r="C22" s="4" t="inlineStr">
        <is>
          <t>Kauaʻi</t>
        </is>
      </c>
      <c r="D22" s="4" t="inlineStr">
        <is>
          <t>Hanalei</t>
        </is>
      </c>
      <c r="E22" s="4" t="inlineStr">
        <is>
          <t>Food</t>
        </is>
      </c>
      <c r="F22" s="4" t="inlineStr">
        <is>
          <t>Food</t>
        </is>
      </c>
      <c r="G22" s="4" t="inlineStr">
        <is>
          <t>Yes</t>
        </is>
      </c>
      <c r="H22" s="10" t="n">
        <v>45</v>
      </c>
      <c r="I22" s="11" t="inlineStr"/>
      <c r="J22" s="9">
        <f>H22*'Read Me'!$B$5</f>
        <v/>
      </c>
      <c r="K22" s="4" t="inlineStr"/>
    </row>
    <row r="23">
      <c r="A23" s="4" t="inlineStr">
        <is>
          <t>2026-09-25</t>
        </is>
      </c>
      <c r="B23" s="4" t="inlineStr">
        <is>
          <t>Day 6</t>
        </is>
      </c>
      <c r="C23" s="4" t="inlineStr">
        <is>
          <t>Kauaʻi</t>
        </is>
      </c>
      <c r="D23" s="4" t="inlineStr">
        <is>
          <t>Waimea Canyon</t>
        </is>
      </c>
      <c r="E23" s="4" t="inlineStr">
        <is>
          <t>Activity</t>
        </is>
      </c>
      <c r="F23" s="4" t="inlineStr">
        <is>
          <t>Waimea Canyon / Kōkeʻe hiking</t>
        </is>
      </c>
      <c r="G23" s="4" t="inlineStr">
        <is>
          <t>Yes</t>
        </is>
      </c>
      <c r="H23" s="10" t="n">
        <v>10</v>
      </c>
      <c r="I23" s="11" t="inlineStr"/>
      <c r="J23" s="9">
        <f>H23*'Read Me'!$B$5</f>
        <v/>
      </c>
      <c r="K23" s="4" t="inlineStr"/>
    </row>
    <row r="24">
      <c r="A24" s="4" t="inlineStr">
        <is>
          <t>2026-09-25</t>
        </is>
      </c>
      <c r="B24" s="4" t="inlineStr">
        <is>
          <t>Day 6</t>
        </is>
      </c>
      <c r="C24" s="4" t="inlineStr">
        <is>
          <t>Kauaʻi</t>
        </is>
      </c>
      <c r="D24" s="4" t="inlineStr">
        <is>
          <t>Kapaʻa/Hanalei</t>
        </is>
      </c>
      <c r="E24" s="4" t="inlineStr">
        <is>
          <t>Lodging</t>
        </is>
      </c>
      <c r="F24" s="4" t="inlineStr">
        <is>
          <t>Night 6 lodging</t>
        </is>
      </c>
      <c r="G24" s="4" t="inlineStr">
        <is>
          <t>Yes</t>
        </is>
      </c>
      <c r="H24" s="10" t="n">
        <v>120</v>
      </c>
      <c r="I24" s="11" t="inlineStr"/>
      <c r="J24" s="9">
        <f>H24*'Read Me'!$B$5</f>
        <v/>
      </c>
      <c r="K24" s="4" t="inlineStr"/>
    </row>
    <row r="25">
      <c r="A25" s="4" t="inlineStr">
        <is>
          <t>2026-09-25</t>
        </is>
      </c>
      <c r="B25" s="4" t="inlineStr">
        <is>
          <t>Day 6</t>
        </is>
      </c>
      <c r="C25" s="4" t="inlineStr">
        <is>
          <t>Kauaʻi</t>
        </is>
      </c>
      <c r="D25" s="4" t="inlineStr">
        <is>
          <t>Kauaʻi</t>
        </is>
      </c>
      <c r="E25" s="4" t="inlineStr">
        <is>
          <t>Food</t>
        </is>
      </c>
      <c r="F25" s="4" t="inlineStr">
        <is>
          <t>Food</t>
        </is>
      </c>
      <c r="G25" s="4" t="inlineStr">
        <is>
          <t>Yes</t>
        </is>
      </c>
      <c r="H25" s="10" t="n">
        <v>45</v>
      </c>
      <c r="I25" s="11" t="inlineStr"/>
      <c r="J25" s="9">
        <f>H25*'Read Me'!$B$5</f>
        <v/>
      </c>
      <c r="K25" s="4" t="inlineStr"/>
    </row>
    <row r="26">
      <c r="A26" s="4" t="inlineStr">
        <is>
          <t>2026-09-26</t>
        </is>
      </c>
      <c r="B26" s="4" t="inlineStr">
        <is>
          <t>Day 7</t>
        </is>
      </c>
      <c r="C26" s="4" t="inlineStr">
        <is>
          <t>Kauaʻi</t>
        </is>
      </c>
      <c r="D26" s="4" t="inlineStr">
        <is>
          <t>Nā Pali Coast</t>
        </is>
      </c>
      <c r="E26" s="4" t="inlineStr">
        <is>
          <t>Activity</t>
        </is>
      </c>
      <c r="F26" s="4" t="inlineStr">
        <is>
          <t>Nā Pali Coast boat tour</t>
        </is>
      </c>
      <c r="G26" s="4" t="inlineStr">
        <is>
          <t>Yes</t>
        </is>
      </c>
      <c r="H26" s="10" t="n">
        <v>180</v>
      </c>
      <c r="I26" s="11" t="inlineStr"/>
      <c r="J26" s="9">
        <f>H26*'Read Me'!$B$5</f>
        <v/>
      </c>
      <c r="K26" s="4" t="inlineStr">
        <is>
          <t>Reserve early; operator/weather dependent</t>
        </is>
      </c>
    </row>
    <row r="27">
      <c r="A27" s="4" t="inlineStr">
        <is>
          <t>2026-09-26</t>
        </is>
      </c>
      <c r="B27" s="4" t="inlineStr">
        <is>
          <t>Day 7</t>
        </is>
      </c>
      <c r="C27" s="4" t="inlineStr">
        <is>
          <t>Kauaʻi</t>
        </is>
      </c>
      <c r="D27" s="4" t="inlineStr">
        <is>
          <t>Poʻipū</t>
        </is>
      </c>
      <c r="E27" s="4" t="inlineStr">
        <is>
          <t>Lodging</t>
        </is>
      </c>
      <c r="F27" s="4" t="inlineStr">
        <is>
          <t>Night 7 lodging</t>
        </is>
      </c>
      <c r="G27" s="4" t="inlineStr">
        <is>
          <t>Yes</t>
        </is>
      </c>
      <c r="H27" s="10" t="n">
        <v>120</v>
      </c>
      <c r="I27" s="11" t="inlineStr"/>
      <c r="J27" s="9">
        <f>H27*'Read Me'!$B$5</f>
        <v/>
      </c>
      <c r="K27" s="4" t="inlineStr"/>
    </row>
    <row r="28">
      <c r="A28" s="4" t="inlineStr">
        <is>
          <t>2026-09-26</t>
        </is>
      </c>
      <c r="B28" s="4" t="inlineStr">
        <is>
          <t>Day 7</t>
        </is>
      </c>
      <c r="C28" s="4" t="inlineStr">
        <is>
          <t>Kauaʻi</t>
        </is>
      </c>
      <c r="D28" s="4" t="inlineStr">
        <is>
          <t>Kauaʻi</t>
        </is>
      </c>
      <c r="E28" s="4" t="inlineStr">
        <is>
          <t>Food</t>
        </is>
      </c>
      <c r="F28" s="4" t="inlineStr">
        <is>
          <t>Food</t>
        </is>
      </c>
      <c r="G28" s="4" t="inlineStr">
        <is>
          <t>Yes</t>
        </is>
      </c>
      <c r="H28" s="10" t="n">
        <v>45</v>
      </c>
      <c r="I28" s="11" t="inlineStr"/>
      <c r="J28" s="9">
        <f>H28*'Read Me'!$B$5</f>
        <v/>
      </c>
      <c r="K28" s="4" t="inlineStr"/>
    </row>
    <row r="29">
      <c r="A29" s="4" t="inlineStr">
        <is>
          <t>2026-09-27</t>
        </is>
      </c>
      <c r="B29" s="4" t="inlineStr">
        <is>
          <t>Return</t>
        </is>
      </c>
      <c r="C29" s="4" t="inlineStr">
        <is>
          <t>Kauaʻi→Ohio</t>
        </is>
      </c>
      <c r="D29" s="4" t="inlineStr">
        <is>
          <t>LIH→CMH</t>
        </is>
      </c>
      <c r="E29" s="4" t="inlineStr">
        <is>
          <t>Airfare</t>
        </is>
      </c>
      <c r="F29" s="4" t="inlineStr">
        <is>
          <t>Return flight</t>
        </is>
      </c>
      <c r="G29" s="4" t="inlineStr">
        <is>
          <t>Yes</t>
        </is>
      </c>
      <c r="H29" s="10" t="n">
        <v>0</v>
      </c>
      <c r="I29" s="11" t="inlineStr"/>
      <c r="J29" s="9">
        <f>H29*'Read Me'!$B$5</f>
        <v/>
      </c>
      <c r="K29" s="4" t="inlineStr">
        <is>
          <t>Included in main airfare placeholder</t>
        </is>
      </c>
    </row>
    <row r="30">
      <c r="A30" s="4" t="inlineStr">
        <is>
          <t>Trip</t>
        </is>
      </c>
      <c r="B30" s="4" t="inlineStr">
        <is>
          <t>All</t>
        </is>
      </c>
      <c r="C30" s="4" t="inlineStr">
        <is>
          <t>All</t>
        </is>
      </c>
      <c r="D30" s="4" t="inlineStr">
        <is>
          <t>All</t>
        </is>
      </c>
      <c r="E30" s="4" t="inlineStr">
        <is>
          <t>Budget</t>
        </is>
      </c>
      <c r="F30" s="4" t="inlineStr">
        <is>
          <t>Contingency / misc.</t>
        </is>
      </c>
      <c r="G30" s="4" t="inlineStr">
        <is>
          <t>Optional</t>
        </is>
      </c>
      <c r="H30" s="10" t="n">
        <v>100</v>
      </c>
      <c r="I30" s="11" t="inlineStr"/>
      <c r="J30" s="9">
        <f>H30*'Read Me'!$B$5</f>
        <v/>
      </c>
      <c r="K30" s="4" t="inlineStr">
        <is>
          <t>Emergency/parking/small purchases</t>
        </is>
      </c>
    </row>
  </sheetData>
  <autoFilter ref="A4:K30"/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3" customWidth="1" min="4" max="4"/>
    <col width="42" customWidth="1" min="5" max="5"/>
    <col width="28" customWidth="1" min="6" max="6"/>
    <col width="18" customWidth="1" min="7" max="7"/>
    <col width="17" customWidth="1" min="8" max="8"/>
    <col width="42" customWidth="1" min="9" max="9"/>
  </cols>
  <sheetData>
    <row r="1" ht="30" customHeight="1">
      <c r="A1" s="1" t="inlineStr">
        <is>
          <t>Daily Plan</t>
        </is>
      </c>
    </row>
    <row r="2">
      <c r="A2" s="2" t="inlineStr">
        <is>
          <t>Hour-by-hour schedule for Sept. 20–27. The major scenery moments are deliberately given large blocks of time.</t>
        </is>
      </c>
    </row>
    <row r="4">
      <c r="A4" s="8" t="inlineStr">
        <is>
          <t>Date</t>
        </is>
      </c>
      <c r="B4" s="8" t="inlineStr">
        <is>
          <t>Day</t>
        </is>
      </c>
      <c r="C4" s="8" t="inlineStr">
        <is>
          <t>Overnight / base</t>
        </is>
      </c>
      <c r="D4" s="8" t="inlineStr">
        <is>
          <t>Time</t>
        </is>
      </c>
      <c r="E4" s="8" t="inlineStr">
        <is>
          <t>Primary plan</t>
        </is>
      </c>
      <c r="F4" s="8" t="inlineStr">
        <is>
          <t>Location</t>
        </is>
      </c>
      <c r="G4" s="8" t="inlineStr">
        <is>
          <t>Transport</t>
        </is>
      </c>
      <c r="H4" s="8" t="inlineStr">
        <is>
          <t>Est. $/person</t>
        </is>
      </c>
      <c r="I4" s="8" t="inlineStr">
        <is>
          <t>Booking / safety checkpoint</t>
        </is>
      </c>
    </row>
    <row r="5">
      <c r="A5" s="4" t="inlineStr">
        <is>
          <t>2026-09-20</t>
        </is>
      </c>
      <c r="B5" s="4" t="inlineStr">
        <is>
          <t>Day 1</t>
        </is>
      </c>
      <c r="C5" s="4" t="inlineStr">
        <is>
          <t>Kona</t>
        </is>
      </c>
      <c r="D5" s="4" t="inlineStr">
        <is>
          <t>7:00 AM</t>
        </is>
      </c>
      <c r="E5" s="4" t="inlineStr">
        <is>
          <t>Depart CMH</t>
        </is>
      </c>
      <c r="F5" s="4" t="inlineStr">
        <is>
          <t>CMH</t>
        </is>
      </c>
      <c r="G5" s="4" t="inlineStr">
        <is>
          <t>Flight</t>
        </is>
      </c>
      <c r="H5" s="9" t="n">
        <v>650</v>
      </c>
      <c r="I5" s="4" t="inlineStr">
        <is>
          <t>Confirm bags and connection</t>
        </is>
      </c>
    </row>
    <row r="6">
      <c r="A6" s="4" t="inlineStr">
        <is>
          <t>2026-09-20</t>
        </is>
      </c>
      <c r="B6" s="4" t="inlineStr">
        <is>
          <t>Day 1</t>
        </is>
      </c>
      <c r="C6" s="4" t="inlineStr">
        <is>
          <t>Kona</t>
        </is>
      </c>
      <c r="D6" s="4" t="inlineStr">
        <is>
          <t>12:30 PM</t>
        </is>
      </c>
      <c r="E6" s="4" t="inlineStr">
        <is>
          <t>Arrive, rental car, groceries</t>
        </is>
      </c>
      <c r="F6" s="4" t="inlineStr">
        <is>
          <t>KOA / Kona</t>
        </is>
      </c>
      <c r="G6" s="4" t="inlineStr">
        <is>
          <t>Rental car</t>
        </is>
      </c>
      <c r="H6" s="9" t="n">
        <v>35</v>
      </c>
      <c r="I6" s="4" t="inlineStr"/>
    </row>
    <row r="7">
      <c r="A7" s="4" t="inlineStr">
        <is>
          <t>2026-09-20</t>
        </is>
      </c>
      <c r="B7" s="4" t="inlineStr">
        <is>
          <t>Day 1</t>
        </is>
      </c>
      <c r="C7" s="4" t="inlineStr">
        <is>
          <t>Kona</t>
        </is>
      </c>
      <c r="D7" s="4" t="inlineStr">
        <is>
          <t>4:00 PM</t>
        </is>
      </c>
      <c r="E7" s="4" t="inlineStr">
        <is>
          <t>Beach / explore</t>
        </is>
      </c>
      <c r="F7" s="4" t="inlineStr">
        <is>
          <t>Kona Coast</t>
        </is>
      </c>
      <c r="G7" s="4" t="inlineStr">
        <is>
          <t>Car</t>
        </is>
      </c>
      <c r="H7" s="9" t="n">
        <v>10</v>
      </c>
      <c r="I7" s="4" t="inlineStr"/>
    </row>
    <row r="8">
      <c r="A8" s="4" t="inlineStr">
        <is>
          <t>2026-09-20</t>
        </is>
      </c>
      <c r="B8" s="4" t="inlineStr">
        <is>
          <t>Day 1</t>
        </is>
      </c>
      <c r="C8" s="4" t="inlineStr">
        <is>
          <t>Kona</t>
        </is>
      </c>
      <c r="D8" s="4" t="inlineStr">
        <is>
          <t>6:30 PM</t>
        </is>
      </c>
      <c r="E8" s="4" t="inlineStr">
        <is>
          <t>Sunset dinner</t>
        </is>
      </c>
      <c r="F8" s="4" t="inlineStr">
        <is>
          <t>Kona</t>
        </is>
      </c>
      <c r="G8" s="4" t="inlineStr">
        <is>
          <t>Walk/car</t>
        </is>
      </c>
      <c r="H8" s="9" t="n">
        <v>45</v>
      </c>
      <c r="I8" s="4" t="inlineStr"/>
    </row>
    <row r="9">
      <c r="A9" s="4" t="inlineStr">
        <is>
          <t>2026-09-21</t>
        </is>
      </c>
      <c r="B9" s="4" t="inlineStr">
        <is>
          <t>Day 2</t>
        </is>
      </c>
      <c r="C9" s="4" t="inlineStr">
        <is>
          <t>Volcano</t>
        </is>
      </c>
      <c r="D9" s="4" t="inlineStr">
        <is>
          <t>5:00 AM</t>
        </is>
      </c>
      <c r="E9" s="4" t="inlineStr">
        <is>
          <t>Early drive + breakfast</t>
        </is>
      </c>
      <c r="F9" s="4" t="inlineStr">
        <is>
          <t>Kona → Volcano</t>
        </is>
      </c>
      <c r="G9" s="4" t="inlineStr">
        <is>
          <t>Car</t>
        </is>
      </c>
      <c r="H9" s="9" t="n">
        <v>20</v>
      </c>
      <c r="I9" s="4" t="inlineStr">
        <is>
          <t>Check NPS/USGS conditions</t>
        </is>
      </c>
    </row>
    <row r="10">
      <c r="A10" s="4" t="inlineStr">
        <is>
          <t>2026-09-21</t>
        </is>
      </c>
      <c r="B10" s="4" t="inlineStr">
        <is>
          <t>Day 2</t>
        </is>
      </c>
      <c r="C10" s="4" t="inlineStr">
        <is>
          <t>Volcano</t>
        </is>
      </c>
      <c r="D10" s="4" t="inlineStr">
        <is>
          <t>7:30 AM</t>
        </is>
      </c>
      <c r="E10" s="4" t="inlineStr">
        <is>
          <t>Kīlauea Iki crater hike</t>
        </is>
      </c>
      <c r="F10" s="4" t="inlineStr">
        <is>
          <t>Hawaiʻi Volcanoes NP</t>
        </is>
      </c>
      <c r="G10" s="4" t="inlineStr">
        <is>
          <t>Hike</t>
        </is>
      </c>
      <c r="H10" s="9" t="n">
        <v>0</v>
      </c>
      <c r="I10" s="4" t="inlineStr">
        <is>
          <t>Check trail status</t>
        </is>
      </c>
    </row>
    <row r="11">
      <c r="A11" s="4" t="inlineStr">
        <is>
          <t>2026-09-21</t>
        </is>
      </c>
      <c r="B11" s="4" t="inlineStr">
        <is>
          <t>Day 2</t>
        </is>
      </c>
      <c r="C11" s="4" t="inlineStr">
        <is>
          <t>Volcano</t>
        </is>
      </c>
      <c r="D11" s="4" t="inlineStr">
        <is>
          <t>11:30 AM</t>
        </is>
      </c>
      <c r="E11" s="4" t="inlineStr">
        <is>
          <t>Thurston Lava Tube</t>
        </is>
      </c>
      <c r="F11" s="4" t="inlineStr">
        <is>
          <t>Nāhuku</t>
        </is>
      </c>
      <c r="G11" s="4" t="inlineStr">
        <is>
          <t>Walk</t>
        </is>
      </c>
      <c r="H11" s="9" t="n">
        <v>0</v>
      </c>
      <c r="I11" s="4" t="inlineStr"/>
    </row>
    <row r="12">
      <c r="A12" s="4" t="inlineStr">
        <is>
          <t>2026-09-21</t>
        </is>
      </c>
      <c r="B12" s="4" t="inlineStr">
        <is>
          <t>Day 2</t>
        </is>
      </c>
      <c r="C12" s="4" t="inlineStr">
        <is>
          <t>Volcano</t>
        </is>
      </c>
      <c r="D12" s="4" t="inlineStr">
        <is>
          <t>1:30 PM</t>
        </is>
      </c>
      <c r="E12" s="4" t="inlineStr">
        <is>
          <t>Chain of Craters Road + lava fields + coast</t>
        </is>
      </c>
      <c r="F12" s="4" t="inlineStr">
        <is>
          <t>Hawaiʻi Volcanoes NP</t>
        </is>
      </c>
      <c r="G12" s="4" t="inlineStr">
        <is>
          <t>Car</t>
        </is>
      </c>
      <c r="H12" s="9" t="n">
        <v>10</v>
      </c>
      <c r="I12" s="4" t="inlineStr">
        <is>
          <t>Do not cross closures/barriers</t>
        </is>
      </c>
    </row>
    <row r="13">
      <c r="A13" s="4" t="inlineStr">
        <is>
          <t>2026-09-21</t>
        </is>
      </c>
      <c r="B13" s="4" t="inlineStr">
        <is>
          <t>Day 2</t>
        </is>
      </c>
      <c r="C13" s="4" t="inlineStr">
        <is>
          <t>Volcano</t>
        </is>
      </c>
      <c r="D13" s="4" t="inlineStr">
        <is>
          <t>8:00 PM</t>
        </is>
      </c>
      <c r="E13" s="4" t="inlineStr">
        <is>
          <t>Eruption viewing if conditions allow</t>
        </is>
      </c>
      <c r="F13" s="4" t="inlineStr">
        <is>
          <t>Kīlauea area</t>
        </is>
      </c>
      <c r="G13" s="4" t="inlineStr">
        <is>
          <t>Car</t>
        </is>
      </c>
      <c r="H13" s="9" t="n">
        <v>0</v>
      </c>
      <c r="I13" s="4" t="inlineStr">
        <is>
          <t>Activity is not guaranteed</t>
        </is>
      </c>
    </row>
    <row r="14">
      <c r="A14" s="4" t="inlineStr">
        <is>
          <t>2026-09-22</t>
        </is>
      </c>
      <c r="B14" s="4" t="inlineStr">
        <is>
          <t>Day 3</t>
        </is>
      </c>
      <c r="C14" s="4" t="inlineStr">
        <is>
          <t>Hilo</t>
        </is>
      </c>
      <c r="D14" s="4" t="inlineStr">
        <is>
          <t>9:00 AM</t>
        </is>
      </c>
      <c r="E14" s="4" t="inlineStr">
        <is>
          <t>Tropical Botanical Garden</t>
        </is>
      </c>
      <c r="F14" s="4" t="inlineStr">
        <is>
          <t>Onomea Bay</t>
        </is>
      </c>
      <c r="G14" s="4" t="inlineStr">
        <is>
          <t>Car</t>
        </is>
      </c>
      <c r="H14" s="9" t="n">
        <v>35</v>
      </c>
      <c r="I14" s="4" t="inlineStr">
        <is>
          <t>Allow 90–120 minutes</t>
        </is>
      </c>
    </row>
    <row r="15">
      <c r="A15" s="4" t="inlineStr">
        <is>
          <t>2026-09-22</t>
        </is>
      </c>
      <c r="B15" s="4" t="inlineStr">
        <is>
          <t>Day 3</t>
        </is>
      </c>
      <c r="C15" s="4" t="inlineStr">
        <is>
          <t>Hilo</t>
        </is>
      </c>
      <c r="D15" s="4" t="inlineStr">
        <is>
          <t>11:30 AM</t>
        </is>
      </c>
      <c r="E15" s="4" t="inlineStr">
        <is>
          <t>Hamakua Coast scenic drive</t>
        </is>
      </c>
      <c r="F15" s="4" t="inlineStr">
        <is>
          <t>Hamakua Coast</t>
        </is>
      </c>
      <c r="G15" s="4" t="inlineStr">
        <is>
          <t>Car</t>
        </is>
      </c>
      <c r="H15" s="9" t="n">
        <v>10</v>
      </c>
      <c r="I15" s="4" t="inlineStr"/>
    </row>
    <row r="16">
      <c r="A16" s="4" t="inlineStr">
        <is>
          <t>2026-09-22</t>
        </is>
      </c>
      <c r="B16" s="4" t="inlineStr">
        <is>
          <t>Day 3</t>
        </is>
      </c>
      <c r="C16" s="4" t="inlineStr">
        <is>
          <t>Hilo</t>
        </is>
      </c>
      <c r="D16" s="4" t="inlineStr">
        <is>
          <t>2:00 PM</t>
        </is>
      </c>
      <c r="E16" s="4" t="inlineStr">
        <is>
          <t>Akaka Falls rainforest hike</t>
        </is>
      </c>
      <c r="F16" s="4" t="inlineStr">
        <is>
          <t>Akaka Falls</t>
        </is>
      </c>
      <c r="G16" s="4" t="inlineStr">
        <is>
          <t>Hike</t>
        </is>
      </c>
      <c r="H16" s="9" t="n">
        <v>15</v>
      </c>
      <c r="I16" s="4" t="inlineStr">
        <is>
          <t>Check current access</t>
        </is>
      </c>
    </row>
    <row r="17">
      <c r="A17" s="4" t="inlineStr">
        <is>
          <t>2026-09-22</t>
        </is>
      </c>
      <c r="B17" s="4" t="inlineStr">
        <is>
          <t>Day 3</t>
        </is>
      </c>
      <c r="C17" s="4" t="inlineStr">
        <is>
          <t>Hilo</t>
        </is>
      </c>
      <c r="D17" s="4" t="inlineStr">
        <is>
          <t>7:00 PM</t>
        </is>
      </c>
      <c r="E17" s="4" t="inlineStr">
        <is>
          <t>Dinner + sleep</t>
        </is>
      </c>
      <c r="F17" s="4" t="inlineStr">
        <is>
          <t>Hilo</t>
        </is>
      </c>
      <c r="G17" s="4" t="inlineStr">
        <is>
          <t>Car/walk</t>
        </is>
      </c>
      <c r="H17" s="9" t="n">
        <v>45</v>
      </c>
      <c r="I17" s="4" t="inlineStr"/>
    </row>
    <row r="18">
      <c r="A18" s="4" t="inlineStr">
        <is>
          <t>2026-09-23</t>
        </is>
      </c>
      <c r="B18" s="4" t="inlineStr">
        <is>
          <t>Day 4</t>
        </is>
      </c>
      <c r="C18" s="4" t="inlineStr">
        <is>
          <t>Hilo</t>
        </is>
      </c>
      <c r="D18" s="4" t="inlineStr">
        <is>
          <t>9:00 AM</t>
        </is>
      </c>
      <c r="E18" s="4" t="inlineStr">
        <is>
          <t>Drive / scenic stops</t>
        </is>
      </c>
      <c r="F18" s="4" t="inlineStr">
        <is>
          <t>Saddle Road</t>
        </is>
      </c>
      <c r="G18" s="4" t="inlineStr">
        <is>
          <t>Car</t>
        </is>
      </c>
      <c r="H18" s="9" t="n">
        <v>10</v>
      </c>
      <c r="I18" s="4" t="inlineStr">
        <is>
          <t>Acclimatize before high elevation</t>
        </is>
      </c>
    </row>
    <row r="19">
      <c r="A19" s="4" t="inlineStr">
        <is>
          <t>2026-09-23</t>
        </is>
      </c>
      <c r="B19" s="4" t="inlineStr">
        <is>
          <t>Day 4</t>
        </is>
      </c>
      <c r="C19" s="4" t="inlineStr">
        <is>
          <t>Hilo</t>
        </is>
      </c>
      <c r="D19" s="4" t="inlineStr">
        <is>
          <t>3:00 PM</t>
        </is>
      </c>
      <c r="E19" s="4" t="inlineStr">
        <is>
          <t>Head toward Mauna Kea</t>
        </is>
      </c>
      <c r="F19" s="4" t="inlineStr">
        <is>
          <t>Mauna Kea access area</t>
        </is>
      </c>
      <c r="G19" s="4" t="inlineStr">
        <is>
          <t>Car</t>
        </is>
      </c>
      <c r="H19" s="9" t="n">
        <v>0</v>
      </c>
      <c r="I19" s="4" t="inlineStr">
        <is>
          <t>Check weather/access rules</t>
        </is>
      </c>
    </row>
    <row r="20">
      <c r="A20" s="4" t="inlineStr">
        <is>
          <t>2026-09-23</t>
        </is>
      </c>
      <c r="B20" s="4" t="inlineStr">
        <is>
          <t>Day 4</t>
        </is>
      </c>
      <c r="C20" s="4" t="inlineStr">
        <is>
          <t>Hilo</t>
        </is>
      </c>
      <c r="D20" s="4" t="inlineStr">
        <is>
          <t>5:30 PM</t>
        </is>
      </c>
      <c r="E20" s="4" t="inlineStr">
        <is>
          <t>Sunset above the clouds</t>
        </is>
      </c>
      <c r="F20" s="4" t="inlineStr">
        <is>
          <t>Mauna Kea</t>
        </is>
      </c>
      <c r="G20" s="4" t="inlineStr">
        <is>
          <t>Scenery</t>
        </is>
      </c>
      <c r="H20" s="9" t="n">
        <v>0</v>
      </c>
      <c r="I20" s="4" t="inlineStr">
        <is>
          <t>Altitude/weather dependent</t>
        </is>
      </c>
    </row>
    <row r="21">
      <c r="A21" s="4" t="inlineStr">
        <is>
          <t>2026-09-23</t>
        </is>
      </c>
      <c r="B21" s="4" t="inlineStr">
        <is>
          <t>Day 4</t>
        </is>
      </c>
      <c r="C21" s="4" t="inlineStr">
        <is>
          <t>Hilo</t>
        </is>
      </c>
      <c r="D21" s="4" t="inlineStr">
        <is>
          <t>7:00 PM</t>
        </is>
      </c>
      <c r="E21" s="4" t="inlineStr">
        <is>
          <t>Stargazing / astronomy</t>
        </is>
      </c>
      <c r="F21" s="4" t="inlineStr">
        <is>
          <t>Mauna Kea</t>
        </is>
      </c>
      <c r="G21" s="4" t="inlineStr">
        <is>
          <t>Scenery</t>
        </is>
      </c>
      <c r="H21" s="9" t="n">
        <v>0</v>
      </c>
      <c r="I21" s="4" t="inlineStr">
        <is>
          <t>Follow current access rules</t>
        </is>
      </c>
    </row>
    <row r="22">
      <c r="A22" s="4" t="inlineStr">
        <is>
          <t>2026-09-24</t>
        </is>
      </c>
      <c r="B22" s="4" t="inlineStr">
        <is>
          <t>Day 5</t>
        </is>
      </c>
      <c r="C22" s="4" t="inlineStr">
        <is>
          <t>Hanalei</t>
        </is>
      </c>
      <c r="D22" s="4" t="inlineStr">
        <is>
          <t>6:00 AM</t>
        </is>
      </c>
      <c r="E22" s="4" t="inlineStr">
        <is>
          <t>Airport + return rental</t>
        </is>
      </c>
      <c r="F22" s="4" t="inlineStr">
        <is>
          <t>KOA</t>
        </is>
      </c>
      <c r="G22" s="4" t="inlineStr">
        <is>
          <t>Car/flight</t>
        </is>
      </c>
      <c r="H22" s="9" t="n">
        <v>0</v>
      </c>
      <c r="I22" s="4" t="inlineStr">
        <is>
          <t>Allow airport time</t>
        </is>
      </c>
    </row>
    <row r="23">
      <c r="A23" s="4" t="inlineStr">
        <is>
          <t>2026-09-24</t>
        </is>
      </c>
      <c r="B23" s="4" t="inlineStr">
        <is>
          <t>Day 5</t>
        </is>
      </c>
      <c r="C23" s="4" t="inlineStr">
        <is>
          <t>Hanalei</t>
        </is>
      </c>
      <c r="D23" s="4" t="inlineStr">
        <is>
          <t>8:00 AM</t>
        </is>
      </c>
      <c r="E23" s="4" t="inlineStr">
        <is>
          <t>Inter-island flight</t>
        </is>
      </c>
      <c r="F23" s="4" t="inlineStr">
        <is>
          <t>KOA → LIH</t>
        </is>
      </c>
      <c r="G23" s="4" t="inlineStr">
        <is>
          <t>Flight</t>
        </is>
      </c>
      <c r="H23" s="9" t="n">
        <v>120</v>
      </c>
      <c r="I23" s="4" t="inlineStr"/>
    </row>
    <row r="24">
      <c r="A24" s="4" t="inlineStr">
        <is>
          <t>2026-09-24</t>
        </is>
      </c>
      <c r="B24" s="4" t="inlineStr">
        <is>
          <t>Day 5</t>
        </is>
      </c>
      <c r="C24" s="4" t="inlineStr">
        <is>
          <t>Hanalei</t>
        </is>
      </c>
      <c r="D24" s="4" t="inlineStr">
        <is>
          <t>1:00 PM</t>
        </is>
      </c>
      <c r="E24" s="4" t="inlineStr">
        <is>
          <t>North Shore drive + viewpoints</t>
        </is>
      </c>
      <c r="F24" s="4" t="inlineStr">
        <is>
          <t>Hanalei</t>
        </is>
      </c>
      <c r="G24" s="4" t="inlineStr">
        <is>
          <t>Car</t>
        </is>
      </c>
      <c r="H24" s="9" t="n">
        <v>10</v>
      </c>
      <c r="I24" s="4" t="inlineStr"/>
    </row>
    <row r="25">
      <c r="A25" s="4" t="inlineStr">
        <is>
          <t>2026-09-24</t>
        </is>
      </c>
      <c r="B25" s="4" t="inlineStr">
        <is>
          <t>Day 5</t>
        </is>
      </c>
      <c r="C25" s="4" t="inlineStr">
        <is>
          <t>Hanalei</t>
        </is>
      </c>
      <c r="D25" s="4" t="inlineStr">
        <is>
          <t>3:00 PM</t>
        </is>
      </c>
      <c r="E25" s="4" t="inlineStr">
        <is>
          <t>Hanalei Bay</t>
        </is>
      </c>
      <c r="F25" s="4" t="inlineStr">
        <is>
          <t>Hanalei</t>
        </is>
      </c>
      <c r="G25" s="4" t="inlineStr">
        <is>
          <t>Walk</t>
        </is>
      </c>
      <c r="H25" s="9" t="n">
        <v>0</v>
      </c>
      <c r="I25" s="4" t="inlineStr">
        <is>
          <t>Ocean conditions matter</t>
        </is>
      </c>
    </row>
    <row r="26">
      <c r="A26" s="4" t="inlineStr">
        <is>
          <t>2026-09-25</t>
        </is>
      </c>
      <c r="B26" s="4" t="inlineStr">
        <is>
          <t>Day 6</t>
        </is>
      </c>
      <c r="C26" s="4" t="inlineStr">
        <is>
          <t>Hanalei</t>
        </is>
      </c>
      <c r="D26" s="4" t="inlineStr">
        <is>
          <t>5:30 AM</t>
        </is>
      </c>
      <c r="E26" s="4" t="inlineStr">
        <is>
          <t>Drive to Waimea</t>
        </is>
      </c>
      <c r="F26" s="4" t="inlineStr">
        <is>
          <t>Hanalei → Waimea</t>
        </is>
      </c>
      <c r="G26" s="4" t="inlineStr">
        <is>
          <t>Car</t>
        </is>
      </c>
      <c r="H26" s="9" t="n">
        <v>20</v>
      </c>
      <c r="I26" s="4" t="inlineStr">
        <is>
          <t>Early start</t>
        </is>
      </c>
    </row>
    <row r="27">
      <c r="A27" s="4" t="inlineStr">
        <is>
          <t>2026-09-25</t>
        </is>
      </c>
      <c r="B27" s="4" t="inlineStr">
        <is>
          <t>Day 6</t>
        </is>
      </c>
      <c r="C27" s="4" t="inlineStr">
        <is>
          <t>Hanalei</t>
        </is>
      </c>
      <c r="D27" s="4" t="inlineStr">
        <is>
          <t>7:30 AM</t>
        </is>
      </c>
      <c r="E27" s="4" t="inlineStr">
        <is>
          <t>Waimea Canyon viewpoints</t>
        </is>
      </c>
      <c r="F27" s="4" t="inlineStr">
        <is>
          <t>Waimea Canyon</t>
        </is>
      </c>
      <c r="G27" s="4" t="inlineStr">
        <is>
          <t>Walk</t>
        </is>
      </c>
      <c r="H27" s="9" t="n">
        <v>0</v>
      </c>
      <c r="I27" s="4" t="inlineStr">
        <is>
          <t>Weather can change quickly</t>
        </is>
      </c>
    </row>
    <row r="28">
      <c r="A28" s="4" t="inlineStr">
        <is>
          <t>2026-09-25</t>
        </is>
      </c>
      <c r="B28" s="4" t="inlineStr">
        <is>
          <t>Day 6</t>
        </is>
      </c>
      <c r="C28" s="4" t="inlineStr">
        <is>
          <t>Hanalei</t>
        </is>
      </c>
      <c r="D28" s="4" t="inlineStr">
        <is>
          <t>10:00 AM</t>
        </is>
      </c>
      <c r="E28" s="4" t="inlineStr">
        <is>
          <t>Long Kōkeʻe hike</t>
        </is>
      </c>
      <c r="F28" s="4" t="inlineStr">
        <is>
          <t>Kōkeʻe State Park</t>
        </is>
      </c>
      <c r="G28" s="4" t="inlineStr">
        <is>
          <t>Hike</t>
        </is>
      </c>
      <c r="H28" s="9" t="n">
        <v>10</v>
      </c>
      <c r="I28" s="4" t="inlineStr">
        <is>
          <t>Choose trail based on conditions</t>
        </is>
      </c>
    </row>
    <row r="29">
      <c r="A29" s="4" t="inlineStr">
        <is>
          <t>2026-09-25</t>
        </is>
      </c>
      <c r="B29" s="4" t="inlineStr">
        <is>
          <t>Day 6</t>
        </is>
      </c>
      <c r="C29" s="4" t="inlineStr">
        <is>
          <t>Hanalei</t>
        </is>
      </c>
      <c r="D29" s="4" t="inlineStr">
        <is>
          <t>3:30 PM</t>
        </is>
      </c>
      <c r="E29" s="4" t="inlineStr">
        <is>
          <t>West-side scenic stops</t>
        </is>
      </c>
      <c r="F29" s="4" t="inlineStr">
        <is>
          <t>West Kauaʻi</t>
        </is>
      </c>
      <c r="G29" s="4" t="inlineStr">
        <is>
          <t>Car</t>
        </is>
      </c>
      <c r="H29" s="9" t="n">
        <v>0</v>
      </c>
      <c r="I29" s="4" t="inlineStr"/>
    </row>
    <row r="30">
      <c r="A30" s="4" t="inlineStr">
        <is>
          <t>2026-09-26</t>
        </is>
      </c>
      <c r="B30" s="4" t="inlineStr">
        <is>
          <t>Day 7</t>
        </is>
      </c>
      <c r="C30" s="4" t="inlineStr">
        <is>
          <t>Poʻipū</t>
        </is>
      </c>
      <c r="D30" s="4" t="inlineStr">
        <is>
          <t>8:00 AM</t>
        </is>
      </c>
      <c r="E30" s="4" t="inlineStr">
        <is>
          <t>Nā Pali Coast boat tour</t>
        </is>
      </c>
      <c r="F30" s="4" t="inlineStr">
        <is>
          <t>Nā Pali Coast</t>
        </is>
      </c>
      <c r="G30" s="4" t="inlineStr">
        <is>
          <t>Boat</t>
        </is>
      </c>
      <c r="H30" s="9" t="n">
        <v>180</v>
      </c>
      <c r="I30" s="4" t="inlineStr">
        <is>
          <t>Reserve; weather/operator dependent</t>
        </is>
      </c>
    </row>
    <row r="31">
      <c r="A31" s="4" t="inlineStr">
        <is>
          <t>2026-09-26</t>
        </is>
      </c>
      <c r="B31" s="4" t="inlineStr">
        <is>
          <t>Day 7</t>
        </is>
      </c>
      <c r="C31" s="4" t="inlineStr">
        <is>
          <t>Poʻipū</t>
        </is>
      </c>
      <c r="D31" s="4" t="inlineStr">
        <is>
          <t>2:00 PM</t>
        </is>
      </c>
      <c r="E31" s="4" t="inlineStr">
        <is>
          <t>Poʻipū beach / relax</t>
        </is>
      </c>
      <c r="F31" s="4" t="inlineStr">
        <is>
          <t>Poʻipū</t>
        </is>
      </c>
      <c r="G31" s="4" t="inlineStr">
        <is>
          <t>Car/walk</t>
        </is>
      </c>
      <c r="H31" s="9" t="n">
        <v>0</v>
      </c>
      <c r="I31" s="4" t="inlineStr"/>
    </row>
    <row r="32">
      <c r="A32" s="4" t="inlineStr">
        <is>
          <t>2026-09-26</t>
        </is>
      </c>
      <c r="B32" s="4" t="inlineStr">
        <is>
          <t>Day 7</t>
        </is>
      </c>
      <c r="C32" s="4" t="inlineStr">
        <is>
          <t>Poʻipū</t>
        </is>
      </c>
      <c r="D32" s="4" t="inlineStr">
        <is>
          <t>5:30 PM</t>
        </is>
      </c>
      <c r="E32" s="4" t="inlineStr">
        <is>
          <t>Final Hawaiian sunset</t>
        </is>
      </c>
      <c r="F32" s="4" t="inlineStr">
        <is>
          <t>South Shore</t>
        </is>
      </c>
      <c r="G32" s="4" t="inlineStr">
        <is>
          <t>Walk</t>
        </is>
      </c>
      <c r="H32" s="9" t="n">
        <v>0</v>
      </c>
      <c r="I32" s="4" t="inlineStr"/>
    </row>
    <row r="33">
      <c r="A33" s="4" t="inlineStr">
        <is>
          <t>2026-09-27</t>
        </is>
      </c>
      <c r="B33" s="4" t="inlineStr">
        <is>
          <t>Return</t>
        </is>
      </c>
      <c r="C33" s="4" t="inlineStr">
        <is>
          <t>Home</t>
        </is>
      </c>
      <c r="D33" s="4" t="inlineStr">
        <is>
          <t>7:00 AM</t>
        </is>
      </c>
      <c r="E33" s="4" t="inlineStr">
        <is>
          <t>LIH → CMH</t>
        </is>
      </c>
      <c r="F33" s="4" t="inlineStr">
        <is>
          <t>Līhuʻe</t>
        </is>
      </c>
      <c r="G33" s="4" t="inlineStr">
        <is>
          <t>Flight</t>
        </is>
      </c>
      <c r="H33" s="9" t="n">
        <v>0</v>
      </c>
      <c r="I33" s="4" t="inlineStr">
        <is>
          <t>Arrive airport with airline-recommended buffer</t>
        </is>
      </c>
    </row>
  </sheetData>
  <autoFilter ref="A4:I33"/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5" customWidth="1" min="3" max="3"/>
    <col width="10" customWidth="1" min="4" max="4"/>
    <col width="20" customWidth="1" min="5" max="5"/>
    <col width="50" customWidth="1" min="6" max="6"/>
    <col width="32" customWidth="1" min="7" max="7"/>
    <col width="48" customWidth="1" min="8" max="8"/>
  </cols>
  <sheetData>
    <row r="1" ht="30" customHeight="1">
      <c r="A1" s="1" t="inlineStr">
        <is>
          <t>Lodging Shortlist</t>
        </is>
      </c>
    </row>
    <row r="2">
      <c r="A2" s="2" t="inlineStr">
        <is>
          <t>For 4–5 adults, prioritize a whole multi-bed room/condo where allowed. Prices below are planning bands, not live quotes.</t>
        </is>
      </c>
    </row>
    <row r="4">
      <c r="A4" s="8" t="inlineStr">
        <is>
          <t>Area</t>
        </is>
      </c>
      <c r="B4" s="8" t="inlineStr">
        <is>
          <t>Role</t>
        </is>
      </c>
      <c r="C4" s="8" t="inlineStr">
        <is>
          <t>Planning band / room-night</t>
        </is>
      </c>
      <c r="D4" s="8" t="inlineStr">
        <is>
          <t>Nights</t>
        </is>
      </c>
      <c r="E4" s="8" t="inlineStr">
        <is>
          <t>Estimated pp share</t>
        </is>
      </c>
      <c r="F4" s="8" t="inlineStr">
        <is>
          <t>Why it fits</t>
        </is>
      </c>
      <c r="G4" s="8" t="inlineStr">
        <is>
          <t>Booking trigger</t>
        </is>
      </c>
      <c r="H4" s="8" t="inlineStr">
        <is>
          <t>Official / search link</t>
        </is>
      </c>
    </row>
    <row r="5">
      <c r="A5" s="4" t="inlineStr">
        <is>
          <t>Kona</t>
        </is>
      </c>
      <c r="B5" s="4" t="inlineStr">
        <is>
          <t>Arrival base</t>
        </is>
      </c>
      <c r="C5" s="4" t="inlineStr">
        <is>
          <t>$180–300</t>
        </is>
      </c>
      <c r="D5" s="4" t="n">
        <v>1</v>
      </c>
      <c r="E5" s="4" t="n">
        <v>120</v>
      </c>
      <c r="F5" s="4" t="inlineStr">
        <is>
          <t>Convenient first-night base</t>
        </is>
      </c>
      <c r="G5" s="4" t="inlineStr">
        <is>
          <t>Quote exact Sept 20</t>
        </is>
      </c>
      <c r="H5" s="7" t="inlineStr">
        <is>
          <t>https://www.gohawaii.com/islands/hawaii-big-island</t>
        </is>
      </c>
    </row>
    <row r="6">
      <c r="A6" s="4" t="inlineStr">
        <is>
          <t>Volcano Village</t>
        </is>
      </c>
      <c r="B6" s="4" t="inlineStr">
        <is>
          <t>Volcano night</t>
        </is>
      </c>
      <c r="C6" s="4" t="inlineStr">
        <is>
          <t>$150–240</t>
        </is>
      </c>
      <c r="D6" s="4" t="n">
        <v>1</v>
      </c>
      <c r="E6" s="4" t="n">
        <v>75</v>
      </c>
      <c r="F6" s="4" t="inlineStr">
        <is>
          <t>Minimizes post-park driving</t>
        </is>
      </c>
      <c r="G6" s="4" t="inlineStr">
        <is>
          <t>Quote Sept 21</t>
        </is>
      </c>
      <c r="H6" s="7" t="inlineStr">
        <is>
          <t>https://www.nps.gov/havo/planyourvisit/where-to-stay.htm</t>
        </is>
      </c>
    </row>
    <row r="7">
      <c r="A7" s="4" t="inlineStr">
        <is>
          <t>Hilo</t>
        </is>
      </c>
      <c r="B7" s="4" t="inlineStr">
        <is>
          <t>Rainforest / Mauna Kea base</t>
        </is>
      </c>
      <c r="C7" s="4" t="inlineStr">
        <is>
          <t>$150–240</t>
        </is>
      </c>
      <c r="D7" s="4" t="n">
        <v>2</v>
      </c>
      <c r="E7" s="4" t="n">
        <v>75</v>
      </c>
      <c r="F7" s="4" t="inlineStr">
        <is>
          <t>Good for Hilo + Mauna Kea</t>
        </is>
      </c>
      <c r="G7" s="4" t="inlineStr">
        <is>
          <t>Quote Sept 22–23</t>
        </is>
      </c>
      <c r="H7" s="7" t="inlineStr">
        <is>
          <t>https://www.gohawaii.com/islands/hawaii-big-island/regions/hilo</t>
        </is>
      </c>
    </row>
    <row r="8">
      <c r="A8" s="4" t="inlineStr">
        <is>
          <t>Hanalei / Princeville</t>
        </is>
      </c>
      <c r="B8" s="4" t="inlineStr">
        <is>
          <t>North Shore</t>
        </is>
      </c>
      <c r="C8" s="4" t="inlineStr">
        <is>
          <t>$220–360</t>
        </is>
      </c>
      <c r="D8" s="4" t="n">
        <v>2</v>
      </c>
      <c r="E8" s="4" t="n">
        <v>120</v>
      </c>
      <c r="F8" s="4" t="inlineStr">
        <is>
          <t>Excellent scenery + North Shore access</t>
        </is>
      </c>
      <c r="G8" s="4" t="inlineStr">
        <is>
          <t>Quote Sept 24–25</t>
        </is>
      </c>
      <c r="H8" s="7" t="inlineStr">
        <is>
          <t>https://www.gohawaii.com/islands/kauai/regions/north-shore</t>
        </is>
      </c>
    </row>
    <row r="9">
      <c r="A9" s="4" t="inlineStr">
        <is>
          <t>Poʻipū / Līhuʻe</t>
        </is>
      </c>
      <c r="B9" s="4" t="inlineStr">
        <is>
          <t>Final night</t>
        </is>
      </c>
      <c r="C9" s="4" t="inlineStr">
        <is>
          <t>$220–360</t>
        </is>
      </c>
      <c r="D9" s="4" t="n">
        <v>1</v>
      </c>
      <c r="E9" s="4" t="n">
        <v>120</v>
      </c>
      <c r="F9" s="4" t="inlineStr">
        <is>
          <t>Convenient for south shore / airport</t>
        </is>
      </c>
      <c r="G9" s="4" t="inlineStr">
        <is>
          <t>Quote Sept 26</t>
        </is>
      </c>
      <c r="H9" s="7" t="inlineStr">
        <is>
          <t>https://www.gohawaii.com/islands/kauai/regions/south-shore</t>
        </is>
      </c>
    </row>
  </sheetData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25" customWidth="1" min="4" max="4"/>
    <col width="55" customWidth="1" min="5" max="5"/>
    <col width="30" customWidth="1" min="6" max="6"/>
    <col width="45" customWidth="1" min="7" max="7"/>
  </cols>
  <sheetData>
    <row r="1" ht="30" customHeight="1">
      <c r="A1" s="1" t="inlineStr">
        <is>
          <t>Transport Plan</t>
        </is>
      </c>
    </row>
    <row r="2">
      <c r="A2" s="2" t="inlineStr">
        <is>
          <t>Open-jaw flights and two rental cars are the planning baseline; confirm exact fares and vehicle terms.</t>
        </is>
      </c>
    </row>
    <row r="4">
      <c r="A4" s="8" t="inlineStr">
        <is>
          <t>Leg</t>
        </is>
      </c>
      <c r="B4" s="8" t="inlineStr">
        <is>
          <t>Recommended option</t>
        </is>
      </c>
      <c r="C4" s="8" t="inlineStr">
        <is>
          <t>Planning $ pp</t>
        </is>
      </c>
      <c r="D4" s="8" t="inlineStr">
        <is>
          <t>Duration / timing</t>
        </is>
      </c>
      <c r="E4" s="8" t="inlineStr">
        <is>
          <t>Reliability / safety note</t>
        </is>
      </c>
      <c r="F4" s="8" t="inlineStr">
        <is>
          <t>Booking trigger</t>
        </is>
      </c>
      <c r="G4" s="8" t="inlineStr">
        <is>
          <t>Official link</t>
        </is>
      </c>
    </row>
    <row r="5">
      <c r="A5" s="4" t="inlineStr">
        <is>
          <t>CMH → KOA</t>
        </is>
      </c>
      <c r="B5" s="4" t="inlineStr">
        <is>
          <t>Main airline itinerary</t>
        </is>
      </c>
      <c r="C5" s="9" t="n">
        <v>650</v>
      </c>
      <c r="D5" s="4" t="inlineStr">
        <is>
          <t>Connection dependent</t>
        </is>
      </c>
      <c r="E5" s="4" t="inlineStr">
        <is>
          <t>Compare total fare + bags, not headline fare</t>
        </is>
      </c>
      <c r="F5" s="4" t="inlineStr">
        <is>
          <t>Book after dates confirmed</t>
        </is>
      </c>
      <c r="G5" s="7" t="inlineStr">
        <is>
          <t>https://www.aa.com/</t>
        </is>
      </c>
    </row>
    <row r="6">
      <c r="A6" s="4" t="inlineStr">
        <is>
          <t>KOA → LIH</t>
        </is>
      </c>
      <c r="B6" s="4" t="inlineStr">
        <is>
          <t>Inter-island flight</t>
        </is>
      </c>
      <c r="C6" s="9" t="n">
        <v>120</v>
      </c>
      <c r="D6" s="4" t="inlineStr">
        <is>
          <t>~1 hr nonstop when available</t>
        </is>
      </c>
      <c r="E6" s="4" t="inlineStr">
        <is>
          <t>Build airport buffer; fares vary</t>
        </is>
      </c>
      <c r="F6" s="4" t="inlineStr">
        <is>
          <t>Book with main itinerary</t>
        </is>
      </c>
      <c r="G6" s="7" t="inlineStr">
        <is>
          <t>https://www.hawaiianairlines.com/</t>
        </is>
      </c>
    </row>
    <row r="7">
      <c r="A7" s="4" t="inlineStr">
        <is>
          <t>KOA rental</t>
        </is>
      </c>
      <c r="B7" s="4" t="inlineStr">
        <is>
          <t>Compact/SUV allocation</t>
        </is>
      </c>
      <c r="C7" s="9" t="n">
        <v>70</v>
      </c>
      <c r="D7" s="4" t="inlineStr">
        <is>
          <t>Days 1–4</t>
        </is>
      </c>
      <c r="E7" s="4" t="inlineStr">
        <is>
          <t>Compare 2 cars vs one larger vehicle for 5</t>
        </is>
      </c>
      <c r="F7" s="4" t="inlineStr">
        <is>
          <t>Quote exact dates</t>
        </is>
      </c>
      <c r="G7" s="7" t="inlineStr">
        <is>
          <t>https://www.enterprise.com/</t>
        </is>
      </c>
    </row>
    <row r="8">
      <c r="A8" s="4" t="inlineStr">
        <is>
          <t>LIH rental</t>
        </is>
      </c>
      <c r="B8" s="4" t="inlineStr">
        <is>
          <t>Compact/SUV allocation</t>
        </is>
      </c>
      <c r="C8" s="9" t="n">
        <v>90</v>
      </c>
      <c r="D8" s="4" t="inlineStr">
        <is>
          <t>Days 5–7</t>
        </is>
      </c>
      <c r="E8" s="4" t="inlineStr">
        <is>
          <t>Compare one 5-seat SUV vs two cars</t>
        </is>
      </c>
      <c r="F8" s="4" t="inlineStr">
        <is>
          <t>Quote exact dates</t>
        </is>
      </c>
      <c r="G8" s="7" t="inlineStr">
        <is>
          <t>https://www.enterprise.com/</t>
        </is>
      </c>
    </row>
    <row r="9">
      <c r="A9" s="4" t="inlineStr">
        <is>
          <t>LIH → CMH</t>
        </is>
      </c>
      <c r="B9" s="4" t="inlineStr">
        <is>
          <t>Return flight</t>
        </is>
      </c>
      <c r="C9" s="9" t="n">
        <v>0</v>
      </c>
      <c r="D9" s="4" t="inlineStr">
        <is>
          <t>Connection dependent</t>
        </is>
      </c>
      <c r="E9" s="4" t="inlineStr">
        <is>
          <t>Main airfare placeholder assumes round-trip/open-jaw total</t>
        </is>
      </c>
      <c r="F9" s="4" t="inlineStr">
        <is>
          <t>Book with outbound</t>
        </is>
      </c>
      <c r="G9" s="7" t="inlineStr">
        <is>
          <t>https://www.aa.com/</t>
        </is>
      </c>
    </row>
  </sheetData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  <col width="25" customWidth="1" min="4" max="4"/>
    <col width="22" customWidth="1" min="5" max="5"/>
    <col width="18" customWidth="1" min="6" max="6"/>
    <col width="60" customWidth="1" min="7" max="7"/>
  </cols>
  <sheetData>
    <row r="1" ht="30" customHeight="1">
      <c r="A1" s="1" t="inlineStr">
        <is>
          <t>Trip Options Comparison</t>
        </is>
      </c>
    </row>
    <row r="2">
      <c r="A2" s="2" t="inlineStr">
        <is>
          <t>The chosen plan is Big Island + Kauaʻi. This sheet makes the core decision auditable.</t>
        </is>
      </c>
    </row>
    <row r="4">
      <c r="A4" s="8" t="inlineStr">
        <is>
          <t>Option</t>
        </is>
      </c>
      <c r="B4" s="8" t="inlineStr">
        <is>
          <t>Days</t>
        </is>
      </c>
      <c r="C4" s="8" t="inlineStr">
        <is>
          <t>Main scenery</t>
        </is>
      </c>
      <c r="D4" s="8" t="inlineStr">
        <is>
          <t>Travel complexity</t>
        </is>
      </c>
      <c r="E4" s="8" t="inlineStr">
        <is>
          <t>Planning cost / pp</t>
        </is>
      </c>
      <c r="F4" s="8" t="inlineStr">
        <is>
          <t>Recommendation</t>
        </is>
      </c>
      <c r="G4" s="8" t="inlineStr">
        <is>
          <t>Why</t>
        </is>
      </c>
    </row>
    <row r="5">
      <c r="A5" s="4" t="inlineStr">
        <is>
          <t>Big Island + Kauaʻi</t>
        </is>
      </c>
      <c r="B5" s="4" t="inlineStr">
        <is>
          <t>7 nights</t>
        </is>
      </c>
      <c r="C5" s="4" t="inlineStr">
        <is>
          <t>Volcanoes, rainforest, Mauna Kea, canyon, Nā Pali</t>
        </is>
      </c>
      <c r="D5" s="4" t="inlineStr">
        <is>
          <t>Medium</t>
        </is>
      </c>
      <c r="E5" s="4" t="inlineStr">
        <is>
          <t>$1,800–$2,500</t>
        </is>
      </c>
      <c r="F5" s="4" t="inlineStr">
        <is>
          <t>SELECTED</t>
        </is>
      </c>
      <c r="G5" s="4" t="inlineStr">
        <is>
          <t>Maximum scenery variety without adding a third island</t>
        </is>
      </c>
    </row>
    <row r="6">
      <c r="A6" s="4" t="inlineStr">
        <is>
          <t>Big Island only</t>
        </is>
      </c>
      <c r="B6" s="4" t="inlineStr">
        <is>
          <t>7 nights</t>
        </is>
      </c>
      <c r="C6" s="4" t="inlineStr">
        <is>
          <t>Volcanoes, waterfalls, Mauna Kea</t>
        </is>
      </c>
      <c r="D6" s="4" t="inlineStr">
        <is>
          <t>Low</t>
        </is>
      </c>
      <c r="E6" s="4" t="inlineStr">
        <is>
          <t>$1,500–$2,200</t>
        </is>
      </c>
      <c r="F6" s="4" t="inlineStr">
        <is>
          <t>Backup</t>
        </is>
      </c>
      <c r="G6" s="4" t="inlineStr">
        <is>
          <t>Less airport friction but misses Nā Pali / Waimea</t>
        </is>
      </c>
    </row>
    <row r="7">
      <c r="A7" s="4" t="inlineStr">
        <is>
          <t>Kauaʻi only</t>
        </is>
      </c>
      <c r="B7" s="4" t="inlineStr">
        <is>
          <t>7 nights</t>
        </is>
      </c>
      <c r="C7" s="4" t="inlineStr">
        <is>
          <t>Nā Pali, Waimea, rainforest</t>
        </is>
      </c>
      <c r="D7" s="4" t="inlineStr">
        <is>
          <t>Low</t>
        </is>
      </c>
      <c r="E7" s="4" t="inlineStr">
        <is>
          <t>$1,500–$2,300</t>
        </is>
      </c>
      <c r="F7" s="4" t="inlineStr">
        <is>
          <t>Backup</t>
        </is>
      </c>
      <c r="G7" s="4" t="inlineStr">
        <is>
          <t>Best concentrated scenery; misses volcano / Mauna Kea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2" customWidth="1" min="3" max="3"/>
    <col width="18" customWidth="1" min="4" max="4"/>
    <col width="18" customWidth="1" min="5" max="5"/>
    <col width="40" customWidth="1" min="6" max="6"/>
    <col width="28" customWidth="1" min="7" max="7"/>
    <col width="42" customWidth="1" min="8" max="8"/>
  </cols>
  <sheetData>
    <row r="1" ht="30" customHeight="1">
      <c r="A1" s="1" t="inlineStr">
        <is>
          <t>Booking &amp; Verification Checklist</t>
        </is>
      </c>
    </row>
    <row r="2">
      <c r="A2" s="2" t="inlineStr">
        <is>
          <t>Replace estimates with confirmed quotes and save the evidence in one place.</t>
        </is>
      </c>
    </row>
    <row r="4">
      <c r="A4" s="8" t="inlineStr">
        <is>
          <t>Priority</t>
        </is>
      </c>
      <c r="B4" s="8" t="inlineStr">
        <is>
          <t>Deadline</t>
        </is>
      </c>
      <c r="C4" s="8" t="inlineStr">
        <is>
          <t>Action</t>
        </is>
      </c>
      <c r="D4" s="8" t="inlineStr">
        <is>
          <t>Owner</t>
        </is>
      </c>
      <c r="E4" s="8" t="inlineStr">
        <is>
          <t>Status</t>
        </is>
      </c>
      <c r="F4" s="8" t="inlineStr">
        <is>
          <t>Evidence to save</t>
        </is>
      </c>
      <c r="G4" s="8" t="inlineStr">
        <is>
          <t>Budget update</t>
        </is>
      </c>
      <c r="H4" s="8" t="inlineStr">
        <is>
          <t>Link / note</t>
        </is>
      </c>
    </row>
    <row r="5">
      <c r="A5" s="4" t="inlineStr">
        <is>
          <t>Critical</t>
        </is>
      </c>
      <c r="B5" s="4" t="inlineStr">
        <is>
          <t>Now</t>
        </is>
      </c>
      <c r="C5" s="4" t="inlineStr">
        <is>
          <t>Confirm 4–5 travelers and exact Sept 20–27 dates</t>
        </is>
      </c>
      <c r="D5" s="4" t="inlineStr">
        <is>
          <t>Group</t>
        </is>
      </c>
      <c r="E5" s="4" t="inlineStr">
        <is>
          <t>Not started</t>
        </is>
      </c>
      <c r="F5" s="4" t="inlineStr">
        <is>
          <t>Final group count</t>
        </is>
      </c>
      <c r="G5" s="4" t="inlineStr">
        <is>
          <t>Update Read Me B5</t>
        </is>
      </c>
      <c r="H5" s="4" t="inlineStr"/>
    </row>
    <row r="6">
      <c r="A6" s="4" t="inlineStr">
        <is>
          <t>Critical</t>
        </is>
      </c>
      <c r="B6" s="4" t="inlineStr">
        <is>
          <t>Now</t>
        </is>
      </c>
      <c r="C6" s="4" t="inlineStr">
        <is>
          <t>Compare CMH→KOA and LIH→CMH open-jaw fares</t>
        </is>
      </c>
      <c r="D6" s="4" t="inlineStr">
        <is>
          <t>Traveler 1</t>
        </is>
      </c>
      <c r="E6" s="4" t="inlineStr">
        <is>
          <t>Not started</t>
        </is>
      </c>
      <c r="F6" s="4" t="inlineStr">
        <is>
          <t>Flight numbers, times, bags, final total</t>
        </is>
      </c>
      <c r="G6" s="4" t="inlineStr">
        <is>
          <t>Update Itemized Budget</t>
        </is>
      </c>
      <c r="H6" s="4" t="inlineStr"/>
    </row>
    <row r="7">
      <c r="A7" s="4" t="inlineStr">
        <is>
          <t>Critical</t>
        </is>
      </c>
      <c r="B7" s="4" t="inlineStr">
        <is>
          <t>After flights</t>
        </is>
      </c>
      <c r="C7" s="4" t="inlineStr">
        <is>
          <t>Quote lodging on Big Island and Kauaʻi</t>
        </is>
      </c>
      <c r="D7" s="4" t="inlineStr">
        <is>
          <t>Traveler 2</t>
        </is>
      </c>
      <c r="E7" s="4" t="inlineStr">
        <is>
          <t>Not started</t>
        </is>
      </c>
      <c r="F7" s="4" t="inlineStr">
        <is>
          <t>Cancellation terms + taxes</t>
        </is>
      </c>
      <c r="G7" s="4" t="inlineStr">
        <is>
          <t>Update Lodging</t>
        </is>
      </c>
      <c r="H7" s="4" t="inlineStr"/>
    </row>
    <row r="8">
      <c r="A8" s="4" t="inlineStr">
        <is>
          <t>High</t>
        </is>
      </c>
      <c r="B8" s="4" t="inlineStr">
        <is>
          <t>After lodging</t>
        </is>
      </c>
      <c r="C8" s="4" t="inlineStr">
        <is>
          <t>Book inter-island KOA→LIH</t>
        </is>
      </c>
      <c r="D8" s="4" t="inlineStr">
        <is>
          <t>Traveler 1</t>
        </is>
      </c>
      <c r="E8" s="4" t="inlineStr">
        <is>
          <t>Not started</t>
        </is>
      </c>
      <c r="F8" s="4" t="inlineStr">
        <is>
          <t>Ticket + baggage rules</t>
        </is>
      </c>
      <c r="G8" s="4" t="inlineStr">
        <is>
          <t>Update Itemized Budget</t>
        </is>
      </c>
      <c r="H8" s="4" t="inlineStr"/>
    </row>
    <row r="9">
      <c r="A9" s="4" t="inlineStr">
        <is>
          <t>High</t>
        </is>
      </c>
      <c r="B9" s="4" t="inlineStr">
        <is>
          <t>After lodging</t>
        </is>
      </c>
      <c r="C9" s="4" t="inlineStr">
        <is>
          <t>Reserve rental cars</t>
        </is>
      </c>
      <c r="D9" s="4" t="inlineStr">
        <is>
          <t>Traveler 3</t>
        </is>
      </c>
      <c r="E9" s="4" t="inlineStr">
        <is>
          <t>Not started</t>
        </is>
      </c>
      <c r="F9" s="4" t="inlineStr">
        <is>
          <t>Rental agreement + insurance terms</t>
        </is>
      </c>
      <c r="G9" s="4" t="inlineStr">
        <is>
          <t>Update Transport</t>
        </is>
      </c>
      <c r="H9" s="4" t="inlineStr"/>
    </row>
    <row r="10">
      <c r="A10" s="4" t="inlineStr">
        <is>
          <t>High</t>
        </is>
      </c>
      <c r="B10" s="4" t="inlineStr">
        <is>
          <t>Before Day 2</t>
        </is>
      </c>
      <c r="C10" s="4" t="inlineStr">
        <is>
          <t>Check NPS park/trail closures and USGS Kīlauea update</t>
        </is>
      </c>
      <c r="D10" s="4" t="inlineStr">
        <is>
          <t>Traveler 4</t>
        </is>
      </c>
      <c r="E10" s="4" t="inlineStr">
        <is>
          <t>Not started</t>
        </is>
      </c>
      <c r="F10" s="4" t="inlineStr">
        <is>
          <t>Screenshot / link</t>
        </is>
      </c>
      <c r="G10" s="4" t="inlineStr">
        <is>
          <t>No cost</t>
        </is>
      </c>
      <c r="H10" s="4" t="inlineStr"/>
    </row>
    <row r="11">
      <c r="A11" s="4" t="inlineStr">
        <is>
          <t>High</t>
        </is>
      </c>
      <c r="B11" s="4" t="inlineStr">
        <is>
          <t>Before Day 4</t>
        </is>
      </c>
      <c r="C11" s="4" t="inlineStr">
        <is>
          <t>Check Mauna Kea weather/access/altitude guidance</t>
        </is>
      </c>
      <c r="D11" s="4" t="inlineStr">
        <is>
          <t>Traveler 4</t>
        </is>
      </c>
      <c r="E11" s="4" t="inlineStr">
        <is>
          <t>Not started</t>
        </is>
      </c>
      <c r="F11" s="4" t="inlineStr">
        <is>
          <t>Current official guidance</t>
        </is>
      </c>
      <c r="G11" s="4" t="inlineStr">
        <is>
          <t>No cost</t>
        </is>
      </c>
      <c r="H11" s="4" t="inlineStr"/>
    </row>
    <row r="12">
      <c r="A12" s="4" t="inlineStr">
        <is>
          <t>High</t>
        </is>
      </c>
      <c r="B12" s="4" t="inlineStr">
        <is>
          <t>Before Day 7</t>
        </is>
      </c>
      <c r="C12" s="4" t="inlineStr">
        <is>
          <t>Book Nā Pali Coast boat tour</t>
        </is>
      </c>
      <c r="D12" s="4" t="inlineStr">
        <is>
          <t>Traveler 2</t>
        </is>
      </c>
      <c r="E12" s="4" t="inlineStr">
        <is>
          <t>Not started</t>
        </is>
      </c>
      <c r="F12" s="4" t="inlineStr">
        <is>
          <t>Confirmation + cancellation weather policy</t>
        </is>
      </c>
      <c r="G12" s="4" t="inlineStr">
        <is>
          <t>Update Itemized Budget</t>
        </is>
      </c>
      <c r="H12" s="4" t="inlineStr"/>
    </row>
    <row r="13">
      <c r="A13" s="4" t="inlineStr">
        <is>
          <t>Medium</t>
        </is>
      </c>
      <c r="B13" s="4" t="inlineStr">
        <is>
          <t>Week before</t>
        </is>
      </c>
      <c r="C13" s="4" t="inlineStr">
        <is>
          <t>Download offline maps + share itinerary</t>
        </is>
      </c>
      <c r="D13" s="4" t="inlineStr">
        <is>
          <t>All</t>
        </is>
      </c>
      <c r="E13" s="4" t="inlineStr">
        <is>
          <t>Not started</t>
        </is>
      </c>
      <c r="F13" s="4" t="inlineStr">
        <is>
          <t>Offline map / shared doc</t>
        </is>
      </c>
      <c r="G13" s="4" t="inlineStr">
        <is>
          <t>No cost</t>
        </is>
      </c>
      <c r="H13" s="4" t="inlineStr"/>
    </row>
    <row r="14">
      <c r="A14" s="4" t="inlineStr">
        <is>
          <t>Medium</t>
        </is>
      </c>
      <c r="B14" s="4" t="inlineStr">
        <is>
          <t>Week before</t>
        </is>
      </c>
      <c r="C14" s="4" t="inlineStr">
        <is>
          <t>Reconfirm every major trail, road and attraction</t>
        </is>
      </c>
      <c r="D14" s="4" t="inlineStr">
        <is>
          <t>All</t>
        </is>
      </c>
      <c r="E14" s="4" t="inlineStr">
        <is>
          <t>Not started</t>
        </is>
      </c>
      <c r="F14" s="4" t="inlineStr">
        <is>
          <t>Current status pages</t>
        </is>
      </c>
      <c r="G14" s="4" t="inlineStr">
        <is>
          <t>Update notes</t>
        </is>
      </c>
      <c r="H14" s="4" t="inlineStr"/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20" customWidth="1" min="4" max="4"/>
    <col width="60" customWidth="1" min="5" max="5"/>
    <col width="48" customWidth="1" min="6" max="6"/>
  </cols>
  <sheetData>
    <row r="1" ht="30" customHeight="1">
      <c r="A1" s="1" t="inlineStr">
        <is>
          <t>Source Register</t>
        </is>
      </c>
    </row>
    <row r="2">
      <c r="A2" s="2" t="inlineStr">
        <is>
          <t>Official sources prioritized for safety, schedules, park conditions and attraction details.</t>
        </is>
      </c>
    </row>
    <row r="4">
      <c r="A4" s="8" t="inlineStr">
        <is>
          <t>ID</t>
        </is>
      </c>
      <c r="B4" s="8" t="inlineStr">
        <is>
          <t>Title</t>
        </is>
      </c>
      <c r="C4" s="8" t="inlineStr">
        <is>
          <t>Publisher</t>
        </is>
      </c>
      <c r="D4" s="8" t="inlineStr">
        <is>
          <t>Type</t>
        </is>
      </c>
      <c r="E4" s="8" t="inlineStr">
        <is>
          <t>URL</t>
        </is>
      </c>
      <c r="F4" s="8" t="inlineStr">
        <is>
          <t>Use</t>
        </is>
      </c>
    </row>
    <row r="5">
      <c r="A5" s="4" t="inlineStr">
        <is>
          <t>S01</t>
        </is>
      </c>
      <c r="B5" s="4" t="inlineStr">
        <is>
          <t>Kīlauea Volcano Updates</t>
        </is>
      </c>
      <c r="C5" s="4" t="inlineStr">
        <is>
          <t>USGS</t>
        </is>
      </c>
      <c r="D5" s="4" t="inlineStr">
        <is>
          <t>Official</t>
        </is>
      </c>
      <c r="E5" s="7" t="inlineStr">
        <is>
          <t>https://www.usgs.gov/volcanoes/kilauea/volcano-updates</t>
        </is>
      </c>
      <c r="F5" s="4" t="inlineStr">
        <is>
          <t>Current eruption status</t>
        </is>
      </c>
    </row>
    <row r="6">
      <c r="A6" s="4" t="inlineStr">
        <is>
          <t>S02</t>
        </is>
      </c>
      <c r="B6" s="4" t="inlineStr">
        <is>
          <t>Hawaiʻi Volcanoes National Park</t>
        </is>
      </c>
      <c r="C6" s="4" t="inlineStr">
        <is>
          <t>NPS</t>
        </is>
      </c>
      <c r="D6" s="4" t="inlineStr">
        <is>
          <t>Official</t>
        </is>
      </c>
      <c r="E6" s="7" t="inlineStr">
        <is>
          <t>https://www.nps.gov/havo/index.htm</t>
        </is>
      </c>
      <c r="F6" s="4" t="inlineStr">
        <is>
          <t>Park conditions, hikes, closures</t>
        </is>
      </c>
    </row>
    <row r="7">
      <c r="A7" s="4" t="inlineStr">
        <is>
          <t>S03</t>
        </is>
      </c>
      <c r="B7" s="4" t="inlineStr">
        <is>
          <t>Eruption Viewing</t>
        </is>
      </c>
      <c r="C7" s="4" t="inlineStr">
        <is>
          <t>NPS</t>
        </is>
      </c>
      <c r="D7" s="4" t="inlineStr">
        <is>
          <t>Official</t>
        </is>
      </c>
      <c r="E7" s="7" t="inlineStr">
        <is>
          <t>https://www.nps.gov/havo/planyourvisit/eruption-viewing.htm</t>
        </is>
      </c>
      <c r="F7" s="4" t="inlineStr">
        <is>
          <t>Viewing rules / current activity</t>
        </is>
      </c>
    </row>
    <row r="8">
      <c r="A8" s="4" t="inlineStr">
        <is>
          <t>S04</t>
        </is>
      </c>
      <c r="B8" s="4" t="inlineStr">
        <is>
          <t>Hawaiʻi Tropical Botanical Garden</t>
        </is>
      </c>
      <c r="C8" s="4" t="inlineStr">
        <is>
          <t>HTBG</t>
        </is>
      </c>
      <c r="D8" s="4" t="inlineStr">
        <is>
          <t>Official</t>
        </is>
      </c>
      <c r="E8" s="7" t="inlineStr">
        <is>
          <t>https://htbg.com/plan-your-visit/</t>
        </is>
      </c>
      <c r="F8" s="4" t="inlineStr">
        <is>
          <t>Hours and admission</t>
        </is>
      </c>
    </row>
    <row r="9">
      <c r="A9" s="4" t="inlineStr">
        <is>
          <t>S05</t>
        </is>
      </c>
      <c r="B9" s="4" t="inlineStr">
        <is>
          <t>Kauaʻi / Nā Pali Coast</t>
        </is>
      </c>
      <c r="C9" s="4" t="inlineStr">
        <is>
          <t>GoHawaii</t>
        </is>
      </c>
      <c r="D9" s="4" t="inlineStr">
        <is>
          <t>Tourism authority</t>
        </is>
      </c>
      <c r="E9" s="7" t="inlineStr">
        <is>
          <t>https://www.gohawaii.com/islands/kauai/regions/north-shore/napali-coast</t>
        </is>
      </c>
      <c r="F9" s="4" t="inlineStr">
        <is>
          <t>Destination background</t>
        </is>
      </c>
    </row>
    <row r="10">
      <c r="A10" s="4" t="inlineStr">
        <is>
          <t>S06</t>
        </is>
      </c>
      <c r="B10" s="4" t="inlineStr">
        <is>
          <t>Mauna Kea Observatories</t>
        </is>
      </c>
      <c r="C10" s="4" t="inlineStr">
        <is>
          <t>MKSOA</t>
        </is>
      </c>
      <c r="D10" s="4" t="inlineStr">
        <is>
          <t>Official</t>
        </is>
      </c>
      <c r="E10" s="7" t="inlineStr">
        <is>
          <t>https://www.maunakeaobservatories.org/</t>
        </is>
      </c>
      <c r="F10" s="4" t="inlineStr">
        <is>
          <t>Mauna Kea astronomy/access context</t>
        </is>
      </c>
    </row>
    <row r="11">
      <c r="A11" s="4" t="inlineStr">
        <is>
          <t>S07</t>
        </is>
      </c>
      <c r="B11" s="4" t="inlineStr">
        <is>
          <t>American Airlines</t>
        </is>
      </c>
      <c r="C11" s="4" t="inlineStr">
        <is>
          <t>American</t>
        </is>
      </c>
      <c r="D11" s="4" t="inlineStr">
        <is>
          <t>Airline</t>
        </is>
      </c>
      <c r="E11" s="7" t="inlineStr">
        <is>
          <t>https://www.aa.com/</t>
        </is>
      </c>
      <c r="F11" s="4" t="inlineStr">
        <is>
          <t>Flight quote starting point</t>
        </is>
      </c>
    </row>
    <row r="12">
      <c r="A12" s="4" t="inlineStr">
        <is>
          <t>S08</t>
        </is>
      </c>
      <c r="B12" s="4" t="inlineStr">
        <is>
          <t>Hawaiian Airlines</t>
        </is>
      </c>
      <c r="C12" s="4" t="inlineStr">
        <is>
          <t>Hawaiian</t>
        </is>
      </c>
      <c r="D12" s="4" t="inlineStr">
        <is>
          <t>Airline</t>
        </is>
      </c>
      <c r="E12" s="7" t="inlineStr">
        <is>
          <t>https://www.hawaiianairlines.com/</t>
        </is>
      </c>
      <c r="F12" s="4" t="inlineStr">
        <is>
          <t>Inter-island quote starting point</t>
        </is>
      </c>
    </row>
  </sheetData>
  <mergeCells count="2">
    <mergeCell ref="A2:H2"/>
    <mergeCell ref="A1:H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2026-08-25T18:54:26Z</dcterms:created>
  <dcterms:modified xmlns:dcterms="http://purl.org/dc/terms/" xmlns:xsi="http://www.w3.org/2001/XMLSchema-instance" xsi:type="dcterms:W3CDTF">2026-08-25T18:54:26Z</dcterms:modified>
</cp:coreProperties>
</file>